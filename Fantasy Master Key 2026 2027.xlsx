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wlar\OneDrive\Desktop\YAGA\Gambling\"/>
    </mc:Choice>
  </mc:AlternateContent>
  <xr:revisionPtr revIDLastSave="0" documentId="8_{C778CA37-DD86-4D1F-83EA-EEBC04A5D875}" xr6:coauthVersionLast="47" xr6:coauthVersionMax="47" xr10:uidLastSave="{00000000-0000-0000-0000-000000000000}"/>
  <bookViews>
    <workbookView xWindow="-110" yWindow="-110" windowWidth="38620" windowHeight="21100" activeTab="1" xr2:uid="{E2783781-47CA-445F-9F1D-BA5F7BD7F20F}"/>
  </bookViews>
  <sheets>
    <sheet name="Draft Results" sheetId="4" r:id="rId1"/>
    <sheet name="Overall Rankings" sheetId="2" r:id="rId2"/>
    <sheet name="Position" sheetId="3" r:id="rId3"/>
  </sheets>
  <definedNames>
    <definedName name="solver_eng" localSheetId="1" hidden="1">1</definedName>
    <definedName name="solver_eng" localSheetId="2" hidden="1">1</definedName>
    <definedName name="solver_neg" localSheetId="1" hidden="1">1</definedName>
    <definedName name="solver_neg" localSheetId="2" hidden="1">1</definedName>
    <definedName name="solver_num" localSheetId="1" hidden="1">0</definedName>
    <definedName name="solver_num" localSheetId="2" hidden="1">0</definedName>
    <definedName name="solver_opt" localSheetId="1" hidden="1">'Overall Rankings'!#REF!</definedName>
    <definedName name="solver_opt" localSheetId="2" hidden="1">Position!$B$2</definedName>
    <definedName name="solver_typ" localSheetId="1" hidden="1">1</definedName>
    <definedName name="solver_typ" localSheetId="2" hidden="1">1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21" i="4" l="1"/>
  <c r="BA21" i="4"/>
  <c r="BB20" i="4"/>
  <c r="BA20" i="4"/>
  <c r="BB19" i="4"/>
  <c r="BA19" i="4"/>
  <c r="BB18" i="4"/>
  <c r="BA18" i="4"/>
  <c r="BB17" i="4"/>
  <c r="BA17" i="4"/>
  <c r="BB16" i="4"/>
  <c r="BA16" i="4"/>
  <c r="BB15" i="4"/>
  <c r="BA15" i="4"/>
  <c r="BB14" i="4"/>
  <c r="BA14" i="4"/>
  <c r="BB13" i="4"/>
  <c r="BA13" i="4"/>
  <c r="BB12" i="4"/>
  <c r="BA12" i="4"/>
  <c r="BB11" i="4"/>
  <c r="BA11" i="4"/>
  <c r="BB10" i="4"/>
  <c r="BA10" i="4"/>
  <c r="BB9" i="4"/>
  <c r="BA9" i="4"/>
  <c r="BB8" i="4"/>
  <c r="BA8" i="4"/>
  <c r="BB7" i="4"/>
  <c r="BA7" i="4"/>
  <c r="BB6" i="4"/>
  <c r="BA6" i="4"/>
  <c r="BB39" i="4"/>
  <c r="BA39" i="4"/>
  <c r="BB38" i="4"/>
  <c r="BA38" i="4"/>
  <c r="BB37" i="4"/>
  <c r="BA37" i="4"/>
  <c r="BB36" i="4"/>
  <c r="BA36" i="4"/>
  <c r="BB35" i="4"/>
  <c r="BA35" i="4"/>
  <c r="BB34" i="4"/>
  <c r="BA34" i="4"/>
  <c r="BB33" i="4"/>
  <c r="BA33" i="4"/>
  <c r="BB32" i="4"/>
  <c r="BA32" i="4"/>
  <c r="BB31" i="4"/>
  <c r="BA31" i="4"/>
  <c r="BB30" i="4"/>
  <c r="BA30" i="4"/>
  <c r="BB29" i="4"/>
  <c r="BA29" i="4"/>
  <c r="BB28" i="4"/>
  <c r="BA28" i="4"/>
  <c r="BB27" i="4"/>
  <c r="BA27" i="4"/>
  <c r="BB26" i="4"/>
  <c r="BA26" i="4"/>
  <c r="BB25" i="4"/>
  <c r="BA25" i="4"/>
  <c r="BB24" i="4"/>
  <c r="BA24" i="4"/>
  <c r="L57" i="4"/>
  <c r="K57" i="4"/>
  <c r="L56" i="4"/>
  <c r="K56" i="4"/>
  <c r="L55" i="4"/>
  <c r="K55" i="4"/>
  <c r="L54" i="4"/>
  <c r="K54" i="4"/>
  <c r="L53" i="4"/>
  <c r="K53" i="4"/>
  <c r="L52" i="4"/>
  <c r="K52" i="4"/>
  <c r="L51" i="4"/>
  <c r="K51" i="4"/>
  <c r="L50" i="4"/>
  <c r="K50" i="4"/>
  <c r="L49" i="4"/>
  <c r="K49" i="4"/>
  <c r="L48" i="4"/>
  <c r="K48" i="4"/>
  <c r="L47" i="4"/>
  <c r="K47" i="4"/>
  <c r="L46" i="4"/>
  <c r="K46" i="4"/>
  <c r="L45" i="4"/>
  <c r="K45" i="4"/>
  <c r="L44" i="4"/>
  <c r="K44" i="4"/>
  <c r="L43" i="4"/>
  <c r="K43" i="4"/>
  <c r="L42" i="4"/>
  <c r="K42" i="4"/>
  <c r="BB57" i="4"/>
  <c r="BA57" i="4"/>
  <c r="BB56" i="4"/>
  <c r="BA56" i="4"/>
  <c r="BB55" i="4"/>
  <c r="BA55" i="4"/>
  <c r="BB54" i="4"/>
  <c r="BA54" i="4"/>
  <c r="BB53" i="4"/>
  <c r="BA53" i="4"/>
  <c r="BB52" i="4"/>
  <c r="BA52" i="4"/>
  <c r="BB51" i="4"/>
  <c r="BA51" i="4"/>
  <c r="BB50" i="4"/>
  <c r="BA50" i="4"/>
  <c r="BB49" i="4"/>
  <c r="BA49" i="4"/>
  <c r="BB48" i="4"/>
  <c r="BA48" i="4"/>
  <c r="BB47" i="4"/>
  <c r="BA47" i="4"/>
  <c r="BB46" i="4"/>
  <c r="BA46" i="4"/>
  <c r="BB45" i="4"/>
  <c r="BA45" i="4"/>
  <c r="BB44" i="4"/>
  <c r="BA44" i="4"/>
  <c r="BB43" i="4"/>
  <c r="BA43" i="4"/>
  <c r="BB42" i="4"/>
  <c r="BA42" i="4"/>
  <c r="AN39" i="4"/>
  <c r="AM39" i="4"/>
  <c r="AN38" i="4"/>
  <c r="AM38" i="4"/>
  <c r="AN37" i="4"/>
  <c r="AM37" i="4"/>
  <c r="AN36" i="4"/>
  <c r="AM36" i="4"/>
  <c r="AN35" i="4"/>
  <c r="AM35" i="4"/>
  <c r="AN34" i="4"/>
  <c r="AM34" i="4"/>
  <c r="AN33" i="4"/>
  <c r="AM33" i="4"/>
  <c r="AN32" i="4"/>
  <c r="AM32" i="4"/>
  <c r="AN31" i="4"/>
  <c r="AM31" i="4"/>
  <c r="AN30" i="4"/>
  <c r="AM30" i="4"/>
  <c r="AN29" i="4"/>
  <c r="AM29" i="4"/>
  <c r="AN28" i="4"/>
  <c r="AM28" i="4"/>
  <c r="AN27" i="4"/>
  <c r="AM27" i="4"/>
  <c r="AN26" i="4"/>
  <c r="AM26" i="4"/>
  <c r="AN25" i="4"/>
  <c r="AM25" i="4"/>
  <c r="AN24" i="4"/>
  <c r="AM24" i="4"/>
  <c r="L21" i="4"/>
  <c r="K21" i="4"/>
  <c r="L20" i="4"/>
  <c r="K20" i="4"/>
  <c r="L19" i="4"/>
  <c r="K19" i="4"/>
  <c r="L18" i="4"/>
  <c r="K18" i="4"/>
  <c r="L17" i="4"/>
  <c r="K17" i="4"/>
  <c r="L16" i="4"/>
  <c r="K16" i="4"/>
  <c r="L15" i="4"/>
  <c r="K15" i="4"/>
  <c r="L14" i="4"/>
  <c r="K14" i="4"/>
  <c r="L13" i="4"/>
  <c r="K13" i="4"/>
  <c r="L12" i="4"/>
  <c r="K12" i="4"/>
  <c r="L11" i="4"/>
  <c r="K11" i="4"/>
  <c r="L10" i="4"/>
  <c r="K10" i="4"/>
  <c r="L9" i="4"/>
  <c r="K9" i="4"/>
  <c r="L8" i="4"/>
  <c r="K8" i="4"/>
  <c r="L7" i="4"/>
  <c r="K7" i="4"/>
  <c r="L6" i="4"/>
  <c r="K6" i="4"/>
  <c r="L39" i="4"/>
  <c r="K39" i="4"/>
  <c r="L38" i="4"/>
  <c r="K38" i="4"/>
  <c r="L37" i="4"/>
  <c r="K37" i="4"/>
  <c r="L36" i="4"/>
  <c r="K36" i="4"/>
  <c r="L35" i="4"/>
  <c r="K35" i="4"/>
  <c r="L34" i="4"/>
  <c r="K34" i="4"/>
  <c r="L33" i="4"/>
  <c r="K33" i="4"/>
  <c r="L32" i="4"/>
  <c r="K32" i="4"/>
  <c r="L31" i="4"/>
  <c r="K31" i="4"/>
  <c r="L30" i="4"/>
  <c r="K30" i="4"/>
  <c r="L29" i="4"/>
  <c r="K29" i="4"/>
  <c r="L28" i="4"/>
  <c r="K28" i="4"/>
  <c r="L27" i="4"/>
  <c r="K27" i="4"/>
  <c r="L26" i="4"/>
  <c r="K26" i="4"/>
  <c r="L25" i="4"/>
  <c r="K25" i="4"/>
  <c r="L24" i="4"/>
  <c r="K24" i="4"/>
  <c r="AN57" i="4"/>
  <c r="AM57" i="4"/>
  <c r="AN56" i="4"/>
  <c r="AM56" i="4"/>
  <c r="AN55" i="4"/>
  <c r="AM55" i="4"/>
  <c r="AN54" i="4"/>
  <c r="AM54" i="4"/>
  <c r="AN53" i="4"/>
  <c r="AM53" i="4"/>
  <c r="AN52" i="4"/>
  <c r="AM52" i="4"/>
  <c r="AN51" i="4"/>
  <c r="AM51" i="4"/>
  <c r="AN50" i="4"/>
  <c r="AM50" i="4"/>
  <c r="AN49" i="4"/>
  <c r="AM49" i="4"/>
  <c r="AN48" i="4"/>
  <c r="AM48" i="4"/>
  <c r="AN47" i="4"/>
  <c r="AM47" i="4"/>
  <c r="AN46" i="4"/>
  <c r="AM46" i="4"/>
  <c r="AN45" i="4"/>
  <c r="AM45" i="4"/>
  <c r="AN44" i="4"/>
  <c r="AM44" i="4"/>
  <c r="AN43" i="4"/>
  <c r="AM43" i="4"/>
  <c r="AN42" i="4"/>
  <c r="AM42" i="4"/>
  <c r="Z39" i="4"/>
  <c r="Y39" i="4"/>
  <c r="Z38" i="4"/>
  <c r="Y38" i="4"/>
  <c r="Z37" i="4"/>
  <c r="Y37" i="4"/>
  <c r="Z36" i="4"/>
  <c r="Y36" i="4"/>
  <c r="Z35" i="4"/>
  <c r="Y35" i="4"/>
  <c r="Z34" i="4"/>
  <c r="Y34" i="4"/>
  <c r="Z33" i="4"/>
  <c r="Y33" i="4"/>
  <c r="Z32" i="4"/>
  <c r="Y32" i="4"/>
  <c r="Z31" i="4"/>
  <c r="Y31" i="4"/>
  <c r="Z30" i="4"/>
  <c r="Y30" i="4"/>
  <c r="Z29" i="4"/>
  <c r="Y29" i="4"/>
  <c r="Z28" i="4"/>
  <c r="Y28" i="4"/>
  <c r="Z27" i="4"/>
  <c r="Y27" i="4"/>
  <c r="Z26" i="4"/>
  <c r="Y26" i="4"/>
  <c r="Z25" i="4"/>
  <c r="Y25" i="4"/>
  <c r="Z24" i="4"/>
  <c r="Y24" i="4"/>
  <c r="Z21" i="4"/>
  <c r="Y21" i="4"/>
  <c r="Z20" i="4"/>
  <c r="Y20" i="4"/>
  <c r="Z19" i="4"/>
  <c r="Y19" i="4"/>
  <c r="Z18" i="4"/>
  <c r="Y18" i="4"/>
  <c r="Z17" i="4"/>
  <c r="Y17" i="4"/>
  <c r="Z16" i="4"/>
  <c r="Y16" i="4"/>
  <c r="Z15" i="4"/>
  <c r="Y15" i="4"/>
  <c r="Z14" i="4"/>
  <c r="Y14" i="4"/>
  <c r="Z13" i="4"/>
  <c r="Y13" i="4"/>
  <c r="Z12" i="4"/>
  <c r="Y12" i="4"/>
  <c r="Z11" i="4"/>
  <c r="Y11" i="4"/>
  <c r="Z10" i="4"/>
  <c r="Y10" i="4"/>
  <c r="Z9" i="4"/>
  <c r="Y9" i="4"/>
  <c r="Z8" i="4"/>
  <c r="Y8" i="4"/>
  <c r="Z7" i="4"/>
  <c r="Y7" i="4"/>
  <c r="Z6" i="4"/>
  <c r="Y6" i="4"/>
  <c r="Z57" i="4"/>
  <c r="Y57" i="4"/>
  <c r="Z56" i="4"/>
  <c r="Y56" i="4"/>
  <c r="Z55" i="4"/>
  <c r="Y55" i="4"/>
  <c r="Z54" i="4"/>
  <c r="Y54" i="4"/>
  <c r="Z53" i="4"/>
  <c r="Y53" i="4"/>
  <c r="Z52" i="4"/>
  <c r="Y52" i="4"/>
  <c r="Z51" i="4"/>
  <c r="Y51" i="4"/>
  <c r="Z50" i="4"/>
  <c r="Y50" i="4"/>
  <c r="Z49" i="4"/>
  <c r="Y49" i="4"/>
  <c r="Z48" i="4"/>
  <c r="Y48" i="4"/>
  <c r="Z47" i="4"/>
  <c r="Y47" i="4"/>
  <c r="Z46" i="4"/>
  <c r="Y46" i="4"/>
  <c r="Z45" i="4"/>
  <c r="Y45" i="4"/>
  <c r="Y58" i="4" s="1"/>
  <c r="Z44" i="4"/>
  <c r="Y44" i="4"/>
  <c r="Z43" i="4"/>
  <c r="Y43" i="4"/>
  <c r="Z42" i="4"/>
  <c r="Y42" i="4"/>
  <c r="R58" i="4"/>
  <c r="V58" i="4"/>
  <c r="W58" i="4"/>
  <c r="X58" i="4"/>
  <c r="AM21" i="4"/>
  <c r="AM20" i="4"/>
  <c r="AM19" i="4"/>
  <c r="AM18" i="4"/>
  <c r="AM17" i="4"/>
  <c r="AN16" i="4"/>
  <c r="AM16" i="4"/>
  <c r="AM15" i="4"/>
  <c r="AM14" i="4"/>
  <c r="AM13" i="4"/>
  <c r="AM12" i="4"/>
  <c r="AM11" i="4"/>
  <c r="AM10" i="4"/>
  <c r="AM9" i="4"/>
  <c r="AM8" i="4"/>
  <c r="AM7" i="4"/>
  <c r="AM6" i="4"/>
  <c r="Z4" i="2"/>
  <c r="AA4" i="2" s="1"/>
  <c r="Z5" i="2"/>
  <c r="AA5" i="2" s="1"/>
  <c r="Z6" i="2"/>
  <c r="AA6" i="2" s="1"/>
  <c r="Z7" i="2"/>
  <c r="AA7" i="2" s="1"/>
  <c r="Z8" i="2"/>
  <c r="AA8" i="2" s="1"/>
  <c r="Z9" i="2"/>
  <c r="AA9" i="2" s="1"/>
  <c r="Z10" i="2"/>
  <c r="AA10" i="2" s="1"/>
  <c r="Z11" i="2"/>
  <c r="AA11" i="2" s="1"/>
  <c r="Z12" i="2"/>
  <c r="AA12" i="2" s="1"/>
  <c r="Z13" i="2"/>
  <c r="AA13" i="2" s="1"/>
  <c r="Z14" i="2"/>
  <c r="AA14" i="2" s="1"/>
  <c r="Z3" i="2"/>
  <c r="AA3" i="2" s="1"/>
  <c r="J194" i="2"/>
  <c r="J36" i="2"/>
  <c r="J101" i="2"/>
  <c r="J71" i="2"/>
  <c r="J119" i="2"/>
  <c r="J156" i="2"/>
  <c r="J7" i="2"/>
  <c r="J55" i="2"/>
  <c r="J182" i="2"/>
  <c r="J197" i="2"/>
  <c r="J46" i="2"/>
  <c r="J14" i="2"/>
  <c r="J108" i="2"/>
  <c r="J90" i="2"/>
  <c r="J137" i="2"/>
  <c r="J78" i="2"/>
  <c r="J199" i="2"/>
  <c r="J24" i="2"/>
  <c r="J169" i="2"/>
  <c r="J61" i="2"/>
  <c r="J200" i="2"/>
  <c r="J80" i="2"/>
  <c r="J142" i="2"/>
  <c r="J123" i="2"/>
  <c r="J27" i="2"/>
  <c r="J202" i="2"/>
  <c r="J206" i="2"/>
  <c r="J209" i="2"/>
  <c r="J210" i="2"/>
  <c r="J213" i="2"/>
  <c r="J230" i="2"/>
  <c r="J247" i="2"/>
  <c r="J259" i="2"/>
  <c r="J293" i="2"/>
  <c r="J294" i="2"/>
  <c r="J295" i="2"/>
  <c r="J317" i="2"/>
  <c r="J322" i="2"/>
  <c r="J324" i="2"/>
  <c r="J329" i="2"/>
  <c r="J333" i="2"/>
  <c r="J338" i="2"/>
  <c r="J81" i="2"/>
  <c r="J361" i="2"/>
  <c r="J363" i="2"/>
  <c r="J364" i="2"/>
  <c r="J365" i="2"/>
  <c r="J366" i="2"/>
  <c r="J161" i="2"/>
  <c r="J99" i="2"/>
  <c r="J18" i="2"/>
  <c r="J66" i="2"/>
  <c r="J3" i="2"/>
  <c r="J115" i="2"/>
  <c r="J148" i="2"/>
  <c r="AN18" i="4" s="1"/>
  <c r="J147" i="2"/>
  <c r="J134" i="2"/>
  <c r="J163" i="2"/>
  <c r="J181" i="2"/>
  <c r="J11" i="2"/>
  <c r="J82" i="2"/>
  <c r="J84" i="2"/>
  <c r="J83" i="2"/>
  <c r="J165" i="2"/>
  <c r="J164" i="2"/>
  <c r="J19" i="2"/>
  <c r="J21" i="2"/>
  <c r="J103" i="2"/>
  <c r="J69" i="2"/>
  <c r="J87" i="2"/>
  <c r="J9" i="2"/>
  <c r="AN9" i="4" s="1"/>
  <c r="J159" i="2"/>
  <c r="J53" i="2"/>
  <c r="J38" i="2"/>
  <c r="J72" i="2"/>
  <c r="J79" i="2"/>
  <c r="J117" i="2"/>
  <c r="J12" i="2"/>
  <c r="J131" i="2"/>
  <c r="AN14" i="4" s="1"/>
  <c r="J59" i="2"/>
  <c r="J40" i="2"/>
  <c r="J39" i="2"/>
  <c r="J104" i="2"/>
  <c r="J186" i="2"/>
  <c r="J23" i="2"/>
  <c r="J187" i="2"/>
  <c r="J154" i="2"/>
  <c r="J143" i="2"/>
  <c r="J170" i="2"/>
  <c r="J221" i="2"/>
  <c r="J44" i="2"/>
  <c r="J172" i="2"/>
  <c r="J127" i="2"/>
  <c r="J28" i="2"/>
  <c r="J246" i="2"/>
  <c r="J124" i="2"/>
  <c r="J138" i="2"/>
  <c r="J250" i="2"/>
  <c r="J47" i="2"/>
  <c r="J256" i="2"/>
  <c r="J266" i="2"/>
  <c r="J267" i="2"/>
  <c r="J269" i="2"/>
  <c r="J185" i="2"/>
  <c r="J278" i="2"/>
  <c r="J280" i="2"/>
  <c r="J288" i="2"/>
  <c r="J289" i="2"/>
  <c r="J298" i="2"/>
  <c r="J302" i="2"/>
  <c r="J31" i="2"/>
  <c r="J107" i="2"/>
  <c r="J125" i="2"/>
  <c r="J313" i="2"/>
  <c r="J314" i="2"/>
  <c r="J316" i="2"/>
  <c r="J321" i="2"/>
  <c r="J323" i="2"/>
  <c r="J325" i="2"/>
  <c r="J327" i="2"/>
  <c r="J331" i="2"/>
  <c r="J334" i="2"/>
  <c r="J335" i="2"/>
  <c r="J336" i="2"/>
  <c r="J339" i="2"/>
  <c r="J340" i="2"/>
  <c r="J341" i="2"/>
  <c r="J191" i="2"/>
  <c r="J342" i="2"/>
  <c r="J343" i="2"/>
  <c r="J94" i="2"/>
  <c r="J344" i="2"/>
  <c r="J345" i="2"/>
  <c r="J91" i="2"/>
  <c r="J346" i="2"/>
  <c r="J347" i="2"/>
  <c r="J348" i="2"/>
  <c r="J349" i="2"/>
  <c r="J351" i="2"/>
  <c r="J352" i="2"/>
  <c r="J353" i="2"/>
  <c r="J354" i="2"/>
  <c r="J41" i="2"/>
  <c r="J144" i="2"/>
  <c r="J357" i="2"/>
  <c r="J358" i="2"/>
  <c r="J359" i="2"/>
  <c r="J360" i="2"/>
  <c r="J362" i="2"/>
  <c r="J114" i="2"/>
  <c r="J130" i="2"/>
  <c r="J178" i="2"/>
  <c r="J85" i="2"/>
  <c r="J50" i="2"/>
  <c r="J35" i="2"/>
  <c r="J34" i="2"/>
  <c r="J146" i="2"/>
  <c r="J37" i="2"/>
  <c r="J51" i="2"/>
  <c r="J179" i="2"/>
  <c r="AN6" i="4" s="1"/>
  <c r="J133" i="2"/>
  <c r="J132" i="2"/>
  <c r="J22" i="2"/>
  <c r="J4" i="2"/>
  <c r="J98" i="2"/>
  <c r="J5" i="2"/>
  <c r="J68" i="2"/>
  <c r="J118" i="2"/>
  <c r="J149" i="2"/>
  <c r="J151" i="2"/>
  <c r="J56" i="2"/>
  <c r="J6" i="2"/>
  <c r="J52" i="2"/>
  <c r="J74" i="2"/>
  <c r="J102" i="2"/>
  <c r="J86" i="2"/>
  <c r="J166" i="2"/>
  <c r="J155" i="2"/>
  <c r="J152" i="2"/>
  <c r="J153" i="2"/>
  <c r="J58" i="2"/>
  <c r="J67" i="2"/>
  <c r="J73" i="2"/>
  <c r="J54" i="2"/>
  <c r="J25" i="2"/>
  <c r="J76" i="2"/>
  <c r="J105" i="2"/>
  <c r="J188" i="2"/>
  <c r="J122" i="2"/>
  <c r="J17" i="2"/>
  <c r="AN17" i="4" s="1"/>
  <c r="J120" i="2"/>
  <c r="J174" i="2"/>
  <c r="J184" i="2"/>
  <c r="J106" i="2"/>
  <c r="J183" i="2"/>
  <c r="J121" i="2"/>
  <c r="J88" i="2"/>
  <c r="J171" i="2"/>
  <c r="J10" i="2"/>
  <c r="AN10" i="4" s="1"/>
  <c r="J211" i="2"/>
  <c r="J168" i="2"/>
  <c r="J212" i="2"/>
  <c r="J26" i="2"/>
  <c r="J215" i="2"/>
  <c r="J216" i="2"/>
  <c r="J193" i="2"/>
  <c r="J60" i="2"/>
  <c r="J220" i="2"/>
  <c r="J30" i="2"/>
  <c r="J222" i="2"/>
  <c r="J223" i="2"/>
  <c r="J136" i="2"/>
  <c r="J224" i="2"/>
  <c r="J226" i="2"/>
  <c r="J227" i="2"/>
  <c r="J229" i="2"/>
  <c r="J45" i="2"/>
  <c r="J43" i="2"/>
  <c r="J231" i="2"/>
  <c r="J93" i="2"/>
  <c r="J237" i="2"/>
  <c r="J141" i="2"/>
  <c r="J126" i="2"/>
  <c r="J244" i="2"/>
  <c r="J175" i="2"/>
  <c r="J252" i="2"/>
  <c r="J260" i="2"/>
  <c r="J263" i="2"/>
  <c r="J96" i="2"/>
  <c r="J271" i="2"/>
  <c r="J272" i="2"/>
  <c r="J273" i="2"/>
  <c r="J274" i="2"/>
  <c r="J62" i="2"/>
  <c r="J279" i="2"/>
  <c r="J282" i="2"/>
  <c r="J283" i="2"/>
  <c r="J287" i="2"/>
  <c r="J292" i="2"/>
  <c r="J297" i="2"/>
  <c r="J299" i="2"/>
  <c r="J301" i="2"/>
  <c r="J112" i="2"/>
  <c r="J303" i="2"/>
  <c r="J305" i="2"/>
  <c r="J308" i="2"/>
  <c r="J309" i="2"/>
  <c r="J310" i="2"/>
  <c r="J319" i="2"/>
  <c r="J20" i="2"/>
  <c r="AN20" i="4" s="1"/>
  <c r="J116" i="2"/>
  <c r="J180" i="2"/>
  <c r="J100" i="2"/>
  <c r="J135" i="2"/>
  <c r="J89" i="2"/>
  <c r="J70" i="2"/>
  <c r="J150" i="2"/>
  <c r="J192" i="2"/>
  <c r="J92" i="2"/>
  <c r="J42" i="2"/>
  <c r="J8" i="2"/>
  <c r="J157" i="2"/>
  <c r="J140" i="2"/>
  <c r="J29" i="2"/>
  <c r="J173" i="2"/>
  <c r="J109" i="2"/>
  <c r="J167" i="2"/>
  <c r="J233" i="2"/>
  <c r="J235" i="2"/>
  <c r="J243" i="2"/>
  <c r="J57" i="2"/>
  <c r="J248" i="2"/>
  <c r="J64" i="2"/>
  <c r="J251" i="2"/>
  <c r="J253" i="2"/>
  <c r="J254" i="2"/>
  <c r="J255" i="2"/>
  <c r="J264" i="2"/>
  <c r="J265" i="2"/>
  <c r="J268" i="2"/>
  <c r="J276" i="2"/>
  <c r="J284" i="2"/>
  <c r="J285" i="2"/>
  <c r="J286" i="2"/>
  <c r="J300" i="2"/>
  <c r="J307" i="2"/>
  <c r="J16" i="2"/>
  <c r="J311" i="2"/>
  <c r="J312" i="2"/>
  <c r="J315" i="2"/>
  <c r="J318" i="2"/>
  <c r="J326" i="2"/>
  <c r="J328" i="2"/>
  <c r="J330" i="2"/>
  <c r="J332" i="2"/>
  <c r="J337" i="2"/>
  <c r="J350" i="2"/>
  <c r="J355" i="2"/>
  <c r="J356" i="2"/>
  <c r="J75" i="2"/>
  <c r="J189" i="2"/>
  <c r="J32" i="2"/>
  <c r="J63" i="2"/>
  <c r="J111" i="2"/>
  <c r="J128" i="2"/>
  <c r="J13" i="2"/>
  <c r="J218" i="2"/>
  <c r="J97" i="2"/>
  <c r="J113" i="2"/>
  <c r="J160" i="2"/>
  <c r="J234" i="2"/>
  <c r="J238" i="2"/>
  <c r="J240" i="2"/>
  <c r="J239" i="2"/>
  <c r="J242" i="2"/>
  <c r="J245" i="2"/>
  <c r="J176" i="2"/>
  <c r="J249" i="2"/>
  <c r="J258" i="2"/>
  <c r="J257" i="2"/>
  <c r="J48" i="2"/>
  <c r="J261" i="2"/>
  <c r="J262" i="2"/>
  <c r="J270" i="2"/>
  <c r="J275" i="2"/>
  <c r="J281" i="2"/>
  <c r="J290" i="2"/>
  <c r="J291" i="2"/>
  <c r="J145" i="2"/>
  <c r="J296" i="2"/>
  <c r="J320" i="2"/>
  <c r="J139" i="2"/>
  <c r="J158" i="2"/>
  <c r="J95" i="2"/>
  <c r="J190" i="2"/>
  <c r="J33" i="2"/>
  <c r="J77" i="2"/>
  <c r="J196" i="2"/>
  <c r="J195" i="2"/>
  <c r="J110" i="2"/>
  <c r="J15" i="2"/>
  <c r="AN15" i="4" s="1"/>
  <c r="J198" i="2"/>
  <c r="J129" i="2"/>
  <c r="J65" i="2"/>
  <c r="J201" i="2"/>
  <c r="J203" i="2"/>
  <c r="J204" i="2"/>
  <c r="J205" i="2"/>
  <c r="J207" i="2"/>
  <c r="J208" i="2"/>
  <c r="J177" i="2"/>
  <c r="J214" i="2"/>
  <c r="J217" i="2"/>
  <c r="J219" i="2"/>
  <c r="J49" i="2"/>
  <c r="J225" i="2"/>
  <c r="J228" i="2"/>
  <c r="J232" i="2"/>
  <c r="J236" i="2"/>
  <c r="J241" i="2"/>
  <c r="J277" i="2"/>
  <c r="J304" i="2"/>
  <c r="J306" i="2"/>
  <c r="J162" i="2"/>
  <c r="AV57" i="3"/>
  <c r="AV50" i="3"/>
  <c r="AV49" i="3"/>
  <c r="AV67" i="3"/>
  <c r="AV56" i="3"/>
  <c r="AV61" i="3"/>
  <c r="AV64" i="3"/>
  <c r="AV38" i="3"/>
  <c r="AV47" i="3"/>
  <c r="AV42" i="3"/>
  <c r="AV60" i="3"/>
  <c r="AV46" i="3"/>
  <c r="AV68" i="3"/>
  <c r="AV58" i="3"/>
  <c r="AV55" i="3"/>
  <c r="AV41" i="3"/>
  <c r="AV54" i="3"/>
  <c r="AV51" i="3"/>
  <c r="AV40" i="3"/>
  <c r="AV52" i="3"/>
  <c r="AV62" i="3"/>
  <c r="AV53" i="3"/>
  <c r="AV69" i="3"/>
  <c r="AV63" i="3"/>
  <c r="AV44" i="3"/>
  <c r="AV39" i="3"/>
  <c r="AV48" i="3"/>
  <c r="AV59" i="3"/>
  <c r="AV43" i="3"/>
  <c r="AV65" i="3"/>
  <c r="AV45" i="3"/>
  <c r="AV66" i="3"/>
  <c r="AV6" i="3"/>
  <c r="AV5" i="3"/>
  <c r="AV9" i="3"/>
  <c r="AV8" i="3"/>
  <c r="AV7" i="3"/>
  <c r="AV4" i="3"/>
  <c r="AV11" i="3"/>
  <c r="AV13" i="3"/>
  <c r="AV12" i="3"/>
  <c r="AV24" i="3"/>
  <c r="AV17" i="3"/>
  <c r="AV19" i="3"/>
  <c r="AV18" i="3"/>
  <c r="AV10" i="3"/>
  <c r="AV15" i="3"/>
  <c r="AV14" i="3"/>
  <c r="AV20" i="3"/>
  <c r="AV30" i="3"/>
  <c r="AV32" i="3"/>
  <c r="AV26" i="3"/>
  <c r="AV22" i="3"/>
  <c r="AV16" i="3"/>
  <c r="AV25" i="3"/>
  <c r="AV28" i="3"/>
  <c r="AV23" i="3"/>
  <c r="AV21" i="3"/>
  <c r="AV27" i="3"/>
  <c r="AV31" i="3"/>
  <c r="AV29" i="3"/>
  <c r="AV33" i="3"/>
  <c r="AV34" i="3"/>
  <c r="AL11" i="3"/>
  <c r="AL3" i="3"/>
  <c r="AL4" i="3"/>
  <c r="AL12" i="3"/>
  <c r="AL6" i="3"/>
  <c r="AL14" i="3"/>
  <c r="AL25" i="3"/>
  <c r="AL21" i="3"/>
  <c r="AL5" i="3"/>
  <c r="AL15" i="3"/>
  <c r="AL16" i="3"/>
  <c r="AL18" i="3"/>
  <c r="AL8" i="3"/>
  <c r="AL13" i="3"/>
  <c r="AL29" i="3"/>
  <c r="AL32" i="3"/>
  <c r="AL24" i="3"/>
  <c r="AL17" i="3"/>
  <c r="AL20" i="3"/>
  <c r="AL19" i="3"/>
  <c r="AL30" i="3"/>
  <c r="AL28" i="3"/>
  <c r="AL23" i="3"/>
  <c r="AL26" i="3"/>
  <c r="AL27" i="3"/>
  <c r="AL31" i="3"/>
  <c r="AL9" i="3"/>
  <c r="AL7" i="3"/>
  <c r="AL40" i="3"/>
  <c r="AL35" i="3"/>
  <c r="AL22" i="3"/>
  <c r="AL33" i="3"/>
  <c r="AL36" i="3"/>
  <c r="AL37" i="3"/>
  <c r="AL41" i="3"/>
  <c r="AL38" i="3"/>
  <c r="AL39" i="3"/>
  <c r="AL44" i="3"/>
  <c r="AL34" i="3"/>
  <c r="AL42" i="3"/>
  <c r="AL45" i="3"/>
  <c r="AL47" i="3"/>
  <c r="AL48" i="3"/>
  <c r="AL49" i="3"/>
  <c r="AL46" i="3"/>
  <c r="AL43" i="3"/>
  <c r="AL51" i="3"/>
  <c r="AL52" i="3"/>
  <c r="AL50" i="3"/>
  <c r="AV3" i="3"/>
  <c r="AL10" i="3"/>
  <c r="AB31" i="3"/>
  <c r="AB5" i="3"/>
  <c r="AB6" i="3"/>
  <c r="AB4" i="3"/>
  <c r="AB7" i="3"/>
  <c r="AB9" i="3"/>
  <c r="AB35" i="3"/>
  <c r="AB11" i="3"/>
  <c r="AB13" i="3"/>
  <c r="AB8" i="3"/>
  <c r="AB36" i="3"/>
  <c r="AB32" i="3"/>
  <c r="AB16" i="3"/>
  <c r="AB10" i="3"/>
  <c r="AB33" i="3"/>
  <c r="AB34" i="3"/>
  <c r="AB12" i="3"/>
  <c r="AB37" i="3"/>
  <c r="AB28" i="3"/>
  <c r="AB46" i="3"/>
  <c r="AB14" i="3"/>
  <c r="AB52" i="3"/>
  <c r="AB39" i="3"/>
  <c r="AB38" i="3"/>
  <c r="AB42" i="3"/>
  <c r="AB57" i="3"/>
  <c r="AB22" i="3"/>
  <c r="AB40" i="3"/>
  <c r="AB15" i="3"/>
  <c r="AB17" i="3"/>
  <c r="AB23" i="3"/>
  <c r="AB41" i="3"/>
  <c r="AB43" i="3"/>
  <c r="AB18" i="3"/>
  <c r="AB30" i="3"/>
  <c r="AB55" i="3"/>
  <c r="AB20" i="3"/>
  <c r="AB19" i="3"/>
  <c r="AB24" i="3"/>
  <c r="AB25" i="3"/>
  <c r="AB44" i="3"/>
  <c r="AB50" i="3"/>
  <c r="AB51" i="3"/>
  <c r="AB45" i="3"/>
  <c r="AB48" i="3"/>
  <c r="AB70" i="3"/>
  <c r="AB26" i="3"/>
  <c r="AB58" i="3"/>
  <c r="AB27" i="3"/>
  <c r="AB64" i="3"/>
  <c r="AB75" i="3"/>
  <c r="AB29" i="3"/>
  <c r="AB60" i="3"/>
  <c r="AB68" i="3"/>
  <c r="AB47" i="3"/>
  <c r="AB72" i="3"/>
  <c r="AB49" i="3"/>
  <c r="AB65" i="3"/>
  <c r="AB66" i="3"/>
  <c r="AB67" i="3"/>
  <c r="AB21" i="3"/>
  <c r="AB69" i="3"/>
  <c r="AB71" i="3"/>
  <c r="AB53" i="3"/>
  <c r="AB76" i="3"/>
  <c r="AB62" i="3"/>
  <c r="AB56" i="3"/>
  <c r="AB61" i="3"/>
  <c r="AB77" i="3"/>
  <c r="AB86" i="3"/>
  <c r="AB78" i="3"/>
  <c r="AB54" i="3"/>
  <c r="AB73" i="3"/>
  <c r="AB74" i="3"/>
  <c r="AB59" i="3"/>
  <c r="AB90" i="3"/>
  <c r="AB100" i="3"/>
  <c r="AB83" i="3"/>
  <c r="AB79" i="3"/>
  <c r="AB93" i="3"/>
  <c r="AB63" i="3"/>
  <c r="AB82" i="3"/>
  <c r="AB84" i="3"/>
  <c r="AB96" i="3"/>
  <c r="AB94" i="3"/>
  <c r="AB102" i="3"/>
  <c r="AB88" i="3"/>
  <c r="AB85" i="3"/>
  <c r="AB101" i="3"/>
  <c r="AB89" i="3"/>
  <c r="AB98" i="3"/>
  <c r="AB91" i="3"/>
  <c r="AB95" i="3"/>
  <c r="AB92" i="3"/>
  <c r="AB80" i="3"/>
  <c r="AB97" i="3"/>
  <c r="AB87" i="3"/>
  <c r="AB99" i="3"/>
  <c r="AB81" i="3"/>
  <c r="AB3" i="3"/>
  <c r="R29" i="3"/>
  <c r="R77" i="3"/>
  <c r="R3" i="3"/>
  <c r="R56" i="3"/>
  <c r="R31" i="3"/>
  <c r="R59" i="3"/>
  <c r="R90" i="3"/>
  <c r="R9" i="3"/>
  <c r="R26" i="3"/>
  <c r="R73" i="3"/>
  <c r="R37" i="3"/>
  <c r="R25" i="3"/>
  <c r="R86" i="3"/>
  <c r="R12" i="3"/>
  <c r="R66" i="3"/>
  <c r="R78" i="3"/>
  <c r="R13" i="3"/>
  <c r="R60" i="3"/>
  <c r="R67" i="3"/>
  <c r="R83" i="3"/>
  <c r="R44" i="3"/>
  <c r="R52" i="3"/>
  <c r="R22" i="3"/>
  <c r="R50" i="3"/>
  <c r="R21" i="3"/>
  <c r="R68" i="3"/>
  <c r="R17" i="3"/>
  <c r="R57" i="3"/>
  <c r="R65" i="3"/>
  <c r="R6" i="3"/>
  <c r="R16" i="3"/>
  <c r="R5" i="3"/>
  <c r="R81" i="3"/>
  <c r="R101" i="3"/>
  <c r="R34" i="3"/>
  <c r="R82" i="3"/>
  <c r="R74" i="3"/>
  <c r="R98" i="3"/>
  <c r="R97" i="3"/>
  <c r="R11" i="3"/>
  <c r="R79" i="3"/>
  <c r="R100" i="3"/>
  <c r="R71" i="3"/>
  <c r="R39" i="3"/>
  <c r="R55" i="3"/>
  <c r="R88" i="3"/>
  <c r="R49" i="3"/>
  <c r="R58" i="3"/>
  <c r="R91" i="3"/>
  <c r="R95" i="3"/>
  <c r="R15" i="3"/>
  <c r="R43" i="3"/>
  <c r="R7" i="3"/>
  <c r="R76" i="3"/>
  <c r="R87" i="3"/>
  <c r="R14" i="3"/>
  <c r="R53" i="3"/>
  <c r="R32" i="3"/>
  <c r="R62" i="3"/>
  <c r="R72" i="3"/>
  <c r="R85" i="3"/>
  <c r="R42" i="3"/>
  <c r="R27" i="3"/>
  <c r="R80" i="3"/>
  <c r="R18" i="3"/>
  <c r="R48" i="3"/>
  <c r="R63" i="3"/>
  <c r="R35" i="3"/>
  <c r="R23" i="3"/>
  <c r="R75" i="3"/>
  <c r="R94" i="3"/>
  <c r="R46" i="3"/>
  <c r="R20" i="3"/>
  <c r="R61" i="3"/>
  <c r="R33" i="3"/>
  <c r="R28" i="3"/>
  <c r="R84" i="3"/>
  <c r="R4" i="3"/>
  <c r="R93" i="3"/>
  <c r="R19" i="3"/>
  <c r="R47" i="3"/>
  <c r="R70" i="3"/>
  <c r="R41" i="3"/>
  <c r="R24" i="3"/>
  <c r="R99" i="3"/>
  <c r="R36" i="3"/>
  <c r="R64" i="3"/>
  <c r="R69" i="3"/>
  <c r="R89" i="3"/>
  <c r="R92" i="3"/>
  <c r="R8" i="3"/>
  <c r="R40" i="3"/>
  <c r="R30" i="3"/>
  <c r="R38" i="3"/>
  <c r="R54" i="3"/>
  <c r="R102" i="3"/>
  <c r="R45" i="3"/>
  <c r="R51" i="3"/>
  <c r="R96" i="3"/>
  <c r="R10" i="3"/>
  <c r="H4" i="3"/>
  <c r="H10" i="3"/>
  <c r="H8" i="3"/>
  <c r="H5" i="3"/>
  <c r="H6" i="3"/>
  <c r="H7" i="3"/>
  <c r="H11" i="3"/>
  <c r="H12" i="3"/>
  <c r="H22" i="3"/>
  <c r="H13" i="3"/>
  <c r="H14" i="3"/>
  <c r="H15" i="3"/>
  <c r="H16" i="3"/>
  <c r="H17" i="3"/>
  <c r="H18" i="3"/>
  <c r="H19" i="3"/>
  <c r="H20" i="3"/>
  <c r="H21" i="3"/>
  <c r="H9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3" i="3"/>
  <c r="I3" i="3" s="1"/>
  <c r="AN11" i="4" l="1"/>
  <c r="AN12" i="4"/>
  <c r="AN21" i="4"/>
  <c r="AN19" i="4"/>
  <c r="AN8" i="4"/>
  <c r="AN7" i="4"/>
  <c r="AN13" i="4"/>
  <c r="AT40" i="4"/>
  <c r="D58" i="4"/>
  <c r="AF58" i="4"/>
  <c r="AT58" i="4"/>
  <c r="AF40" i="4"/>
  <c r="R40" i="4"/>
  <c r="D40" i="4"/>
  <c r="D22" i="4"/>
  <c r="R22" i="4"/>
  <c r="AF22" i="4"/>
  <c r="AT22" i="4"/>
  <c r="BA58" i="4"/>
  <c r="AZ58" i="4"/>
  <c r="AY58" i="4"/>
  <c r="AX58" i="4"/>
  <c r="AM58" i="4"/>
  <c r="AL58" i="4"/>
  <c r="AK58" i="4"/>
  <c r="AJ58" i="4"/>
  <c r="K58" i="4"/>
  <c r="J58" i="4"/>
  <c r="I58" i="4"/>
  <c r="H58" i="4"/>
  <c r="BA40" i="4"/>
  <c r="AZ40" i="4"/>
  <c r="AY40" i="4"/>
  <c r="AX40" i="4"/>
  <c r="AM40" i="4"/>
  <c r="AL40" i="4"/>
  <c r="AK40" i="4"/>
  <c r="AJ40" i="4"/>
  <c r="Y40" i="4"/>
  <c r="X40" i="4"/>
  <c r="W40" i="4"/>
  <c r="V40" i="4"/>
  <c r="K40" i="4"/>
  <c r="J40" i="4"/>
  <c r="I40" i="4"/>
  <c r="H40" i="4"/>
  <c r="BA22" i="4"/>
  <c r="AZ22" i="4"/>
  <c r="AY22" i="4"/>
  <c r="AX22" i="4"/>
  <c r="AM22" i="4"/>
  <c r="AL22" i="4"/>
  <c r="AK22" i="4"/>
  <c r="AJ22" i="4"/>
  <c r="Y22" i="4"/>
  <c r="X22" i="4"/>
  <c r="W22" i="4"/>
  <c r="V22" i="4"/>
  <c r="K22" i="4"/>
  <c r="J22" i="4"/>
  <c r="I22" i="4"/>
  <c r="H22" i="4"/>
  <c r="AC83" i="3"/>
  <c r="S102" i="3"/>
  <c r="AC63" i="3"/>
  <c r="S75" i="3"/>
  <c r="AC86" i="3"/>
  <c r="S92" i="3"/>
  <c r="AC81" i="3"/>
  <c r="S62" i="3"/>
  <c r="AC80" i="3"/>
  <c r="S80" i="3"/>
  <c r="AC95" i="3"/>
  <c r="S99" i="3"/>
  <c r="AC85" i="3"/>
  <c r="S90" i="3"/>
  <c r="AC99" i="3"/>
  <c r="S95" i="3"/>
  <c r="AC93" i="3"/>
  <c r="S97" i="3"/>
  <c r="AC92" i="3"/>
  <c r="S100" i="3"/>
  <c r="AC94" i="3"/>
  <c r="S98" i="3"/>
  <c r="AC102" i="3"/>
  <c r="S77" i="3"/>
  <c r="AC91" i="3"/>
  <c r="S70" i="3"/>
  <c r="AC89" i="3"/>
  <c r="S69" i="3"/>
  <c r="AC100" i="3"/>
  <c r="S91" i="3"/>
  <c r="AC59" i="3"/>
  <c r="S71" i="3"/>
  <c r="AC98" i="3"/>
  <c r="S89" i="3"/>
  <c r="AC88" i="3"/>
  <c r="S96" i="3"/>
  <c r="AC56" i="3"/>
  <c r="S86" i="3"/>
  <c r="AC90" i="3"/>
  <c r="S87" i="3"/>
  <c r="AC82" i="3"/>
  <c r="S85" i="3"/>
  <c r="AC79" i="3"/>
  <c r="S67" i="3"/>
  <c r="AC47" i="3"/>
  <c r="S81" i="3"/>
  <c r="AC78" i="3"/>
  <c r="S74" i="3"/>
  <c r="AC97" i="3"/>
  <c r="S83" i="3"/>
  <c r="AC84" i="3"/>
  <c r="S61" i="3"/>
  <c r="AC74" i="3"/>
  <c r="S63" i="3"/>
  <c r="AC61" i="3"/>
  <c r="S94" i="3"/>
  <c r="AC96" i="3"/>
  <c r="S79" i="3"/>
  <c r="AC101" i="3"/>
  <c r="S84" i="3"/>
  <c r="AC77" i="3"/>
  <c r="S78" i="3"/>
  <c r="AC72" i="3"/>
  <c r="S73" i="3"/>
  <c r="AC69" i="3"/>
  <c r="S30" i="3"/>
  <c r="AW64" i="3"/>
  <c r="AC58" i="3"/>
  <c r="S65" i="3"/>
  <c r="AW69" i="3"/>
  <c r="AC64" i="3"/>
  <c r="S58" i="3"/>
  <c r="AW65" i="3"/>
  <c r="AC67" i="3"/>
  <c r="S101" i="3"/>
  <c r="AW67" i="3"/>
  <c r="AC66" i="3"/>
  <c r="S60" i="3"/>
  <c r="AW62" i="3"/>
  <c r="AC87" i="3"/>
  <c r="S28" i="3"/>
  <c r="AW63" i="3"/>
  <c r="AC68" i="3"/>
  <c r="S82" i="3"/>
  <c r="AW68" i="3"/>
  <c r="AC49" i="3"/>
  <c r="S93" i="3"/>
  <c r="AW53" i="3"/>
  <c r="AC70" i="3"/>
  <c r="S23" i="3"/>
  <c r="AW48" i="3"/>
  <c r="AC60" i="3"/>
  <c r="S68" i="3"/>
  <c r="AW56" i="3"/>
  <c r="AC76" i="3"/>
  <c r="S53" i="3"/>
  <c r="AW66" i="3"/>
  <c r="AC71" i="3"/>
  <c r="S88" i="3"/>
  <c r="AW40" i="3"/>
  <c r="AC73" i="3"/>
  <c r="S22" i="3"/>
  <c r="AW58" i="3"/>
  <c r="AC27" i="3"/>
  <c r="S76" i="3"/>
  <c r="AW54" i="3"/>
  <c r="AC26" i="3"/>
  <c r="S66" i="3"/>
  <c r="AW57" i="3"/>
  <c r="AC51" i="3"/>
  <c r="S25" i="3"/>
  <c r="AW59" i="3"/>
  <c r="AC54" i="3"/>
  <c r="S52" i="3"/>
  <c r="AW60" i="3"/>
  <c r="AC30" i="3"/>
  <c r="S59" i="3"/>
  <c r="AW47" i="3"/>
  <c r="AM51" i="3"/>
  <c r="AC45" i="3"/>
  <c r="S43" i="3"/>
  <c r="I45" i="3"/>
  <c r="AW50" i="3"/>
  <c r="AM44" i="3"/>
  <c r="AC20" i="3"/>
  <c r="S64" i="3"/>
  <c r="I52" i="3"/>
  <c r="AW44" i="3"/>
  <c r="AM50" i="3"/>
  <c r="AC25" i="3"/>
  <c r="S29" i="3"/>
  <c r="I48" i="3"/>
  <c r="AW52" i="3"/>
  <c r="AM34" i="3"/>
  <c r="AC75" i="3"/>
  <c r="S72" i="3"/>
  <c r="I39" i="3"/>
  <c r="AW49" i="3"/>
  <c r="AM49" i="3"/>
  <c r="AC24" i="3"/>
  <c r="S56" i="3"/>
  <c r="I51" i="3"/>
  <c r="AW61" i="3"/>
  <c r="AM48" i="3"/>
  <c r="AC55" i="3"/>
  <c r="S50" i="3"/>
  <c r="I36" i="3"/>
  <c r="AW45" i="3"/>
  <c r="AM47" i="3"/>
  <c r="AC62" i="3"/>
  <c r="S40" i="3"/>
  <c r="I50" i="3"/>
  <c r="AW51" i="3"/>
  <c r="AM52" i="3"/>
  <c r="AC29" i="3"/>
  <c r="S26" i="3"/>
  <c r="I40" i="3"/>
  <c r="AW39" i="3"/>
  <c r="AM45" i="3"/>
  <c r="AC65" i="3"/>
  <c r="S55" i="3"/>
  <c r="I47" i="3"/>
  <c r="AW43" i="3"/>
  <c r="AM33" i="3"/>
  <c r="AC43" i="3"/>
  <c r="S21" i="3"/>
  <c r="I37" i="3"/>
  <c r="AW55" i="3"/>
  <c r="AM41" i="3"/>
  <c r="AC41" i="3"/>
  <c r="S51" i="3"/>
  <c r="I44" i="3"/>
  <c r="AW46" i="3"/>
  <c r="AM38" i="3"/>
  <c r="AC53" i="3"/>
  <c r="S54" i="3"/>
  <c r="I41" i="3"/>
  <c r="AW42" i="3"/>
  <c r="AM46" i="3"/>
  <c r="AC44" i="3"/>
  <c r="S24" i="3"/>
  <c r="I42" i="3"/>
  <c r="AW41" i="3"/>
  <c r="AM43" i="3"/>
  <c r="AC48" i="3"/>
  <c r="S48" i="3"/>
  <c r="I34" i="3"/>
  <c r="AW38" i="3"/>
  <c r="AM42" i="3"/>
  <c r="AC39" i="3"/>
  <c r="S57" i="3"/>
  <c r="I49" i="3"/>
  <c r="AM22" i="3"/>
  <c r="AC50" i="3"/>
  <c r="S20" i="3"/>
  <c r="I46" i="3"/>
  <c r="AM39" i="3"/>
  <c r="AC57" i="3"/>
  <c r="S27" i="3"/>
  <c r="I43" i="3"/>
  <c r="AM35" i="3"/>
  <c r="AC42" i="3"/>
  <c r="S45" i="3"/>
  <c r="I31" i="3"/>
  <c r="AW33" i="3"/>
  <c r="AM29" i="3"/>
  <c r="AC46" i="3"/>
  <c r="S46" i="3"/>
  <c r="I35" i="3"/>
  <c r="AW34" i="3"/>
  <c r="AM36" i="3"/>
  <c r="AC23" i="3"/>
  <c r="S19" i="3"/>
  <c r="I38" i="3"/>
  <c r="AW27" i="3"/>
  <c r="AM9" i="3"/>
  <c r="AC19" i="3"/>
  <c r="S39" i="3"/>
  <c r="I30" i="3"/>
  <c r="AW28" i="3"/>
  <c r="AM31" i="3"/>
  <c r="AC15" i="3"/>
  <c r="S47" i="3"/>
  <c r="I32" i="3"/>
  <c r="AW29" i="3"/>
  <c r="AM28" i="3"/>
  <c r="AC21" i="3"/>
  <c r="S42" i="3"/>
  <c r="I20" i="3"/>
  <c r="AW23" i="3"/>
  <c r="AM23" i="3"/>
  <c r="AC52" i="3"/>
  <c r="S16" i="3"/>
  <c r="I23" i="3"/>
  <c r="AW31" i="3"/>
  <c r="AM30" i="3"/>
  <c r="AC22" i="3"/>
  <c r="S12" i="3"/>
  <c r="I14" i="3"/>
  <c r="AW26" i="3"/>
  <c r="AM37" i="3"/>
  <c r="AC18" i="3"/>
  <c r="S38" i="3"/>
  <c r="I21" i="3"/>
  <c r="AW21" i="3"/>
  <c r="AM27" i="3"/>
  <c r="AC38" i="3"/>
  <c r="S49" i="3"/>
  <c r="I33" i="3"/>
  <c r="AW22" i="3"/>
  <c r="AM14" i="3"/>
  <c r="AC17" i="3"/>
  <c r="S41" i="3"/>
  <c r="I29" i="3"/>
  <c r="AW16" i="3"/>
  <c r="AM32" i="3"/>
  <c r="AC37" i="3"/>
  <c r="S44" i="3"/>
  <c r="I24" i="3"/>
  <c r="AW25" i="3"/>
  <c r="AM24" i="3"/>
  <c r="AC40" i="3"/>
  <c r="S18" i="3"/>
  <c r="I25" i="3"/>
  <c r="AW19" i="3"/>
  <c r="AM26" i="3"/>
  <c r="AC12" i="3"/>
  <c r="S17" i="3"/>
  <c r="I15" i="3"/>
  <c r="AW30" i="3"/>
  <c r="AM40" i="3"/>
  <c r="AC16" i="3"/>
  <c r="S10" i="3"/>
  <c r="I19" i="3"/>
  <c r="AW32" i="3"/>
  <c r="AM25" i="3"/>
  <c r="AC34" i="3"/>
  <c r="S37" i="3"/>
  <c r="I26" i="3"/>
  <c r="AW15" i="3"/>
  <c r="AM8" i="3"/>
  <c r="AC28" i="3"/>
  <c r="S34" i="3"/>
  <c r="I16" i="3"/>
  <c r="AW17" i="3"/>
  <c r="AM18" i="3"/>
  <c r="AC32" i="3"/>
  <c r="S35" i="3"/>
  <c r="I27" i="3"/>
  <c r="AW18" i="3"/>
  <c r="AM19" i="3"/>
  <c r="AC14" i="3"/>
  <c r="S15" i="3"/>
  <c r="I9" i="3"/>
  <c r="AW11" i="3"/>
  <c r="AM21" i="3"/>
  <c r="AC35" i="3"/>
  <c r="S33" i="3"/>
  <c r="I11" i="3"/>
  <c r="AW20" i="3"/>
  <c r="AM20" i="3"/>
  <c r="AC13" i="3"/>
  <c r="S13" i="3"/>
  <c r="I18" i="3"/>
  <c r="AW14" i="3"/>
  <c r="AM17" i="3"/>
  <c r="AC33" i="3"/>
  <c r="S9" i="3"/>
  <c r="I17" i="3"/>
  <c r="AW24" i="3"/>
  <c r="AM16" i="3"/>
  <c r="AC9" i="3"/>
  <c r="S11" i="3"/>
  <c r="I13" i="3"/>
  <c r="AW10" i="3"/>
  <c r="AM15" i="3"/>
  <c r="AC7" i="3"/>
  <c r="S8" i="3"/>
  <c r="I28" i="3"/>
  <c r="AW13" i="3"/>
  <c r="AM7" i="3"/>
  <c r="AC6" i="3"/>
  <c r="S14" i="3"/>
  <c r="I22" i="3"/>
  <c r="AW7" i="3"/>
  <c r="AM5" i="3"/>
  <c r="AC11" i="3"/>
  <c r="S32" i="3"/>
  <c r="I7" i="3"/>
  <c r="AW12" i="3"/>
  <c r="AM4" i="3"/>
  <c r="AC3" i="3"/>
  <c r="S4" i="3"/>
  <c r="I6" i="3"/>
  <c r="AW8" i="3"/>
  <c r="AM6" i="3"/>
  <c r="AC36" i="3"/>
  <c r="S7" i="3"/>
  <c r="I12" i="3"/>
  <c r="AW6" i="3"/>
  <c r="AM13" i="3"/>
  <c r="AC10" i="3"/>
  <c r="S5" i="3"/>
  <c r="I8" i="3"/>
  <c r="AW3" i="3"/>
  <c r="AM12" i="3"/>
  <c r="AC5" i="3"/>
  <c r="S31" i="3"/>
  <c r="I5" i="3"/>
  <c r="AW9" i="3"/>
  <c r="AM3" i="3"/>
  <c r="AC8" i="3"/>
  <c r="S36" i="3"/>
  <c r="I10" i="3"/>
  <c r="AW4" i="3"/>
  <c r="AM10" i="3"/>
  <c r="AC4" i="3"/>
  <c r="S6" i="3"/>
  <c r="I4" i="3"/>
  <c r="AW5" i="3"/>
  <c r="AM11" i="3"/>
  <c r="AC31" i="3"/>
  <c r="S3" i="3"/>
  <c r="K114" i="2"/>
  <c r="K130" i="2"/>
  <c r="K178" i="2"/>
  <c r="K85" i="2"/>
  <c r="K50" i="2"/>
  <c r="K35" i="2"/>
  <c r="K34" i="2"/>
  <c r="K146" i="2"/>
  <c r="K37" i="2"/>
  <c r="K51" i="2"/>
  <c r="K179" i="2"/>
  <c r="K133" i="2"/>
  <c r="K132" i="2"/>
  <c r="K22" i="2"/>
  <c r="K4" i="2"/>
  <c r="K98" i="2"/>
  <c r="K5" i="2"/>
  <c r="K68" i="2"/>
  <c r="K118" i="2"/>
  <c r="K149" i="2"/>
  <c r="K151" i="2"/>
  <c r="K56" i="2"/>
  <c r="K6" i="2"/>
  <c r="K52" i="2"/>
  <c r="K74" i="2"/>
  <c r="K102" i="2"/>
  <c r="K86" i="2"/>
  <c r="K166" i="2"/>
  <c r="K155" i="2"/>
  <c r="K152" i="2"/>
  <c r="K153" i="2"/>
  <c r="K58" i="2"/>
  <c r="K67" i="2"/>
  <c r="K73" i="2"/>
  <c r="K54" i="2"/>
  <c r="K25" i="2"/>
  <c r="K76" i="2"/>
  <c r="K105" i="2"/>
  <c r="K188" i="2"/>
  <c r="K122" i="2"/>
  <c r="K17" i="2"/>
  <c r="K120" i="2"/>
  <c r="K174" i="2"/>
  <c r="K184" i="2"/>
  <c r="K106" i="2"/>
  <c r="K183" i="2"/>
  <c r="K121" i="2"/>
  <c r="K88" i="2"/>
  <c r="K171" i="2"/>
  <c r="K10" i="2"/>
  <c r="K211" i="2"/>
  <c r="K168" i="2"/>
  <c r="K212" i="2"/>
  <c r="K26" i="2"/>
  <c r="K215" i="2"/>
  <c r="K216" i="2"/>
  <c r="K193" i="2"/>
  <c r="K60" i="2"/>
  <c r="K220" i="2"/>
  <c r="K30" i="2"/>
  <c r="K222" i="2"/>
  <c r="K223" i="2"/>
  <c r="K136" i="2"/>
  <c r="K224" i="2"/>
  <c r="K226" i="2"/>
  <c r="K227" i="2"/>
  <c r="K229" i="2"/>
  <c r="K45" i="2"/>
  <c r="K43" i="2"/>
  <c r="K231" i="2"/>
  <c r="K93" i="2"/>
  <c r="K237" i="2"/>
  <c r="K141" i="2"/>
  <c r="K126" i="2"/>
  <c r="K244" i="2"/>
  <c r="K175" i="2"/>
  <c r="K252" i="2"/>
  <c r="K260" i="2"/>
  <c r="K263" i="2"/>
  <c r="K96" i="2"/>
  <c r="K271" i="2"/>
  <c r="K272" i="2"/>
  <c r="K273" i="2"/>
  <c r="K274" i="2"/>
  <c r="K62" i="2"/>
  <c r="K279" i="2"/>
  <c r="K282" i="2"/>
  <c r="K283" i="2"/>
  <c r="K287" i="2"/>
  <c r="K292" i="2"/>
  <c r="K297" i="2"/>
  <c r="K299" i="2"/>
  <c r="K301" i="2"/>
  <c r="K112" i="2"/>
  <c r="K303" i="2"/>
  <c r="K305" i="2"/>
  <c r="K308" i="2"/>
  <c r="K309" i="2"/>
  <c r="K310" i="2"/>
  <c r="K319" i="2"/>
  <c r="K256" i="2"/>
  <c r="K266" i="2"/>
  <c r="K267" i="2"/>
  <c r="K269" i="2"/>
  <c r="K185" i="2"/>
  <c r="K278" i="2"/>
  <c r="K280" i="2"/>
  <c r="K288" i="2"/>
  <c r="K289" i="2"/>
  <c r="K298" i="2"/>
  <c r="K302" i="2"/>
  <c r="K31" i="2"/>
  <c r="K107" i="2"/>
  <c r="K125" i="2"/>
  <c r="K313" i="2"/>
  <c r="K314" i="2"/>
  <c r="K316" i="2"/>
  <c r="K321" i="2"/>
  <c r="K323" i="2"/>
  <c r="K325" i="2"/>
  <c r="K327" i="2"/>
  <c r="K331" i="2"/>
  <c r="K334" i="2"/>
  <c r="K335" i="2"/>
  <c r="K336" i="2"/>
  <c r="K339" i="2"/>
  <c r="K340" i="2"/>
  <c r="K341" i="2"/>
  <c r="K191" i="2"/>
  <c r="K342" i="2"/>
  <c r="K343" i="2"/>
  <c r="K94" i="2"/>
  <c r="K344" i="2"/>
  <c r="K345" i="2"/>
  <c r="K91" i="2"/>
  <c r="K346" i="2"/>
  <c r="K347" i="2"/>
  <c r="K348" i="2"/>
  <c r="K349" i="2"/>
  <c r="K351" i="2"/>
  <c r="K352" i="2"/>
  <c r="K353" i="2"/>
  <c r="K354" i="2"/>
  <c r="K41" i="2"/>
  <c r="K144" i="2"/>
  <c r="K357" i="2"/>
  <c r="K358" i="2"/>
  <c r="K359" i="2"/>
  <c r="K360" i="2"/>
  <c r="K362" i="2"/>
  <c r="K162" i="2"/>
  <c r="K194" i="2"/>
  <c r="K36" i="2"/>
  <c r="K101" i="2"/>
  <c r="K71" i="2"/>
  <c r="K119" i="2"/>
  <c r="K156" i="2"/>
  <c r="K7" i="2"/>
  <c r="K55" i="2"/>
  <c r="K182" i="2"/>
  <c r="K197" i="2"/>
  <c r="K46" i="2"/>
  <c r="K14" i="2"/>
  <c r="K108" i="2"/>
  <c r="K90" i="2"/>
  <c r="K137" i="2"/>
  <c r="K78" i="2"/>
  <c r="K199" i="2"/>
  <c r="K24" i="2"/>
  <c r="K169" i="2"/>
  <c r="K61" i="2"/>
  <c r="K200" i="2"/>
  <c r="K80" i="2"/>
  <c r="K142" i="2"/>
  <c r="K123" i="2"/>
  <c r="K27" i="2"/>
  <c r="K202" i="2"/>
  <c r="K206" i="2"/>
  <c r="K209" i="2"/>
  <c r="K210" i="2"/>
  <c r="K213" i="2"/>
  <c r="K230" i="2"/>
  <c r="K247" i="2"/>
  <c r="K259" i="2"/>
  <c r="K293" i="2"/>
  <c r="K294" i="2"/>
  <c r="K295" i="2"/>
  <c r="K317" i="2"/>
  <c r="K322" i="2"/>
  <c r="K324" i="2"/>
  <c r="K329" i="2"/>
  <c r="K333" i="2"/>
  <c r="K338" i="2"/>
  <c r="K81" i="2"/>
  <c r="K361" i="2"/>
  <c r="K363" i="2"/>
  <c r="K364" i="2"/>
  <c r="K365" i="2"/>
  <c r="K366" i="2"/>
  <c r="K161" i="2"/>
  <c r="K99" i="2"/>
  <c r="K18" i="2"/>
  <c r="K66" i="2"/>
  <c r="K3" i="2"/>
  <c r="K115" i="2"/>
  <c r="K148" i="2"/>
  <c r="K147" i="2"/>
  <c r="K134" i="2"/>
  <c r="K163" i="2"/>
  <c r="K181" i="2"/>
  <c r="K11" i="2"/>
  <c r="K82" i="2"/>
  <c r="K84" i="2"/>
  <c r="K83" i="2"/>
  <c r="K165" i="2"/>
  <c r="K164" i="2"/>
  <c r="K19" i="2"/>
  <c r="K21" i="2"/>
  <c r="K103" i="2"/>
  <c r="K69" i="2"/>
  <c r="K87" i="2"/>
  <c r="K9" i="2"/>
  <c r="K159" i="2"/>
  <c r="K53" i="2"/>
  <c r="K38" i="2"/>
  <c r="K72" i="2"/>
  <c r="K79" i="2"/>
  <c r="K117" i="2"/>
  <c r="K12" i="2"/>
  <c r="K131" i="2"/>
  <c r="K59" i="2"/>
  <c r="K40" i="2"/>
  <c r="K39" i="2"/>
  <c r="K104" i="2"/>
  <c r="K186" i="2"/>
  <c r="K23" i="2"/>
  <c r="K187" i="2"/>
  <c r="K154" i="2"/>
  <c r="K143" i="2"/>
  <c r="K170" i="2"/>
  <c r="K221" i="2"/>
  <c r="K44" i="2"/>
  <c r="K172" i="2"/>
  <c r="K127" i="2"/>
  <c r="K28" i="2"/>
  <c r="K246" i="2"/>
  <c r="K124" i="2"/>
  <c r="K138" i="2"/>
  <c r="K250" i="2"/>
  <c r="K47" i="2"/>
  <c r="K139" i="2"/>
  <c r="K158" i="2"/>
  <c r="K95" i="2"/>
  <c r="K190" i="2"/>
  <c r="K33" i="2"/>
  <c r="K77" i="2"/>
  <c r="K196" i="2"/>
  <c r="K195" i="2"/>
  <c r="K110" i="2"/>
  <c r="K15" i="2"/>
  <c r="K198" i="2"/>
  <c r="K129" i="2"/>
  <c r="K65" i="2"/>
  <c r="K201" i="2"/>
  <c r="K203" i="2"/>
  <c r="K204" i="2"/>
  <c r="K205" i="2"/>
  <c r="K207" i="2"/>
  <c r="K208" i="2"/>
  <c r="K177" i="2"/>
  <c r="K214" i="2"/>
  <c r="K217" i="2"/>
  <c r="K219" i="2"/>
  <c r="K49" i="2"/>
  <c r="K225" i="2"/>
  <c r="K228" i="2"/>
  <c r="K232" i="2"/>
  <c r="K236" i="2"/>
  <c r="K241" i="2"/>
  <c r="K277" i="2"/>
  <c r="K304" i="2"/>
  <c r="K306" i="2"/>
  <c r="K75" i="2"/>
  <c r="K189" i="2"/>
  <c r="K32" i="2"/>
  <c r="K63" i="2"/>
  <c r="K111" i="2"/>
  <c r="K128" i="2"/>
  <c r="K13" i="2"/>
  <c r="K218" i="2"/>
  <c r="K97" i="2"/>
  <c r="K113" i="2"/>
  <c r="K160" i="2"/>
  <c r="K234" i="2"/>
  <c r="K238" i="2"/>
  <c r="K240" i="2"/>
  <c r="K239" i="2"/>
  <c r="K242" i="2"/>
  <c r="K245" i="2"/>
  <c r="K176" i="2"/>
  <c r="K249" i="2"/>
  <c r="K258" i="2"/>
  <c r="K257" i="2"/>
  <c r="K48" i="2"/>
  <c r="K261" i="2"/>
  <c r="K262" i="2"/>
  <c r="K270" i="2"/>
  <c r="K275" i="2"/>
  <c r="K281" i="2"/>
  <c r="K290" i="2"/>
  <c r="K291" i="2"/>
  <c r="K145" i="2"/>
  <c r="K296" i="2"/>
  <c r="K320" i="2"/>
  <c r="K116" i="2"/>
  <c r="K180" i="2"/>
  <c r="K100" i="2"/>
  <c r="K135" i="2"/>
  <c r="K89" i="2"/>
  <c r="K70" i="2"/>
  <c r="K150" i="2"/>
  <c r="K192" i="2"/>
  <c r="K92" i="2"/>
  <c r="K42" i="2"/>
  <c r="K8" i="2"/>
  <c r="K157" i="2"/>
  <c r="K140" i="2"/>
  <c r="K29" i="2"/>
  <c r="K173" i="2"/>
  <c r="K109" i="2"/>
  <c r="K167" i="2"/>
  <c r="K233" i="2"/>
  <c r="K235" i="2"/>
  <c r="K243" i="2"/>
  <c r="K57" i="2"/>
  <c r="K248" i="2"/>
  <c r="K64" i="2"/>
  <c r="K251" i="2"/>
  <c r="K253" i="2"/>
  <c r="K254" i="2"/>
  <c r="K255" i="2"/>
  <c r="K264" i="2"/>
  <c r="K265" i="2"/>
  <c r="K268" i="2"/>
  <c r="K276" i="2"/>
  <c r="K284" i="2"/>
  <c r="K285" i="2"/>
  <c r="K286" i="2"/>
  <c r="K300" i="2"/>
  <c r="K307" i="2"/>
  <c r="K16" i="2"/>
  <c r="K311" i="2"/>
  <c r="K312" i="2"/>
  <c r="K315" i="2"/>
  <c r="K318" i="2"/>
  <c r="K326" i="2"/>
  <c r="K328" i="2"/>
  <c r="K330" i="2"/>
  <c r="K332" i="2"/>
  <c r="K337" i="2"/>
  <c r="K350" i="2"/>
  <c r="K355" i="2"/>
  <c r="K356" i="2"/>
  <c r="K20" i="2"/>
</calcChain>
</file>

<file path=xl/sharedStrings.xml><?xml version="1.0" encoding="utf-8"?>
<sst xmlns="http://schemas.openxmlformats.org/spreadsheetml/2006/main" count="3297" uniqueCount="434">
  <si>
    <t>Overall</t>
  </si>
  <si>
    <t>D/ST</t>
  </si>
  <si>
    <t>#</t>
  </si>
  <si>
    <t>Player</t>
  </si>
  <si>
    <t>Team</t>
  </si>
  <si>
    <t>Pos.</t>
  </si>
  <si>
    <t>23 Pts</t>
  </si>
  <si>
    <t>Avg</t>
  </si>
  <si>
    <t>J. Allen</t>
  </si>
  <si>
    <t>BUF</t>
  </si>
  <si>
    <t>QB</t>
  </si>
  <si>
    <t>C. McCaffrey</t>
  </si>
  <si>
    <t>SF</t>
  </si>
  <si>
    <t>C. Lamb</t>
  </si>
  <si>
    <t>DAL</t>
  </si>
  <si>
    <t>S. LaPorta</t>
  </si>
  <si>
    <t>DET</t>
  </si>
  <si>
    <t>J. Hurts</t>
  </si>
  <si>
    <t>PHI</t>
  </si>
  <si>
    <t>B. Hall</t>
  </si>
  <si>
    <t>NYJ</t>
  </si>
  <si>
    <t>MIA</t>
  </si>
  <si>
    <t>KC</t>
  </si>
  <si>
    <t>BAL</t>
  </si>
  <si>
    <t>RB</t>
  </si>
  <si>
    <t>L. Jackson</t>
  </si>
  <si>
    <t>T. Etienne Jr.</t>
  </si>
  <si>
    <t>JAX</t>
  </si>
  <si>
    <t>A. St. Brown</t>
  </si>
  <si>
    <t>D. Prescott</t>
  </si>
  <si>
    <t>B. Robinson</t>
  </si>
  <si>
    <t>ATL</t>
  </si>
  <si>
    <t>A.J. Brown</t>
  </si>
  <si>
    <t>G. Kittle</t>
  </si>
  <si>
    <t>CLE</t>
  </si>
  <si>
    <t>WR</t>
  </si>
  <si>
    <t>P. Mahomes</t>
  </si>
  <si>
    <t>K. Williams</t>
  </si>
  <si>
    <t>LAR</t>
  </si>
  <si>
    <t>J. Love</t>
  </si>
  <si>
    <t>GB</t>
  </si>
  <si>
    <t>R. White</t>
  </si>
  <si>
    <t>TB</t>
  </si>
  <si>
    <t>J. Chase</t>
  </si>
  <si>
    <t>CIN</t>
  </si>
  <si>
    <t>T. McBride</t>
  </si>
  <si>
    <t>ARI</t>
  </si>
  <si>
    <t>C.J. Stroud</t>
  </si>
  <si>
    <t>HOU</t>
  </si>
  <si>
    <t>D. Henry</t>
  </si>
  <si>
    <t>T.J. Hockenson</t>
  </si>
  <si>
    <t>MIN</t>
  </si>
  <si>
    <t>PIT</t>
  </si>
  <si>
    <t>B. Purdy</t>
  </si>
  <si>
    <t>J. Gibbs</t>
  </si>
  <si>
    <t>CHI</t>
  </si>
  <si>
    <t>J. Goff</t>
  </si>
  <si>
    <t>J. Mixon</t>
  </si>
  <si>
    <t>J. Daniels</t>
  </si>
  <si>
    <t>WAS</t>
  </si>
  <si>
    <t>N/A</t>
  </si>
  <si>
    <t>S. Barkley</t>
  </si>
  <si>
    <t>NO</t>
  </si>
  <si>
    <t>C. Williams</t>
  </si>
  <si>
    <t>I. Pacheco</t>
  </si>
  <si>
    <t>LV</t>
  </si>
  <si>
    <t>T. Lawrence</t>
  </si>
  <si>
    <t>R. Mostert</t>
  </si>
  <si>
    <t>T. Tagovailoa</t>
  </si>
  <si>
    <t>J. Cook</t>
  </si>
  <si>
    <t>B. Mayfield</t>
  </si>
  <si>
    <t>A. Kamara</t>
  </si>
  <si>
    <t>B. Aiyuk</t>
  </si>
  <si>
    <t>IND</t>
  </si>
  <si>
    <t>M. Stafford</t>
  </si>
  <si>
    <t>D. Achane</t>
  </si>
  <si>
    <t>J. Jefferson</t>
  </si>
  <si>
    <t>B. Bowers</t>
  </si>
  <si>
    <t>J. Herbert</t>
  </si>
  <si>
    <t>LAC</t>
  </si>
  <si>
    <t>T. Pollard</t>
  </si>
  <si>
    <t>TEN</t>
  </si>
  <si>
    <t>G. Wilson</t>
  </si>
  <si>
    <t>NE</t>
  </si>
  <si>
    <t>G. Smith</t>
  </si>
  <si>
    <t>SEA</t>
  </si>
  <si>
    <t>D. Montgomery</t>
  </si>
  <si>
    <t>NYG</t>
  </si>
  <si>
    <t>D. Maye</t>
  </si>
  <si>
    <t>J. Taylor</t>
  </si>
  <si>
    <t>K. Walker III</t>
  </si>
  <si>
    <t>R. Wilson</t>
  </si>
  <si>
    <t>J. Jacobs</t>
  </si>
  <si>
    <t>B. Nix</t>
  </si>
  <si>
    <t>DEN</t>
  </si>
  <si>
    <t>J. Conner</t>
  </si>
  <si>
    <t>K. Murray</t>
  </si>
  <si>
    <t>N. Harris</t>
  </si>
  <si>
    <t>J. Burrow</t>
  </si>
  <si>
    <t>D. Swift</t>
  </si>
  <si>
    <t>K. Cousins</t>
  </si>
  <si>
    <t>J. Warren</t>
  </si>
  <si>
    <t>A. Richardson</t>
  </si>
  <si>
    <t>B. Young</t>
  </si>
  <si>
    <t>CAR</t>
  </si>
  <si>
    <t>J. Williams</t>
  </si>
  <si>
    <t>W. Levis</t>
  </si>
  <si>
    <t>D. Singletary</t>
  </si>
  <si>
    <t>D. Watson</t>
  </si>
  <si>
    <t>J. Ford</t>
  </si>
  <si>
    <t>Z. Moss</t>
  </si>
  <si>
    <t>J. Fields</t>
  </si>
  <si>
    <t>D. Jones</t>
  </si>
  <si>
    <t>A. Ekeler</t>
  </si>
  <si>
    <t>S. Darnold</t>
  </si>
  <si>
    <t>R. Stevenson</t>
  </si>
  <si>
    <t>A. Rodgers</t>
  </si>
  <si>
    <t>K</t>
  </si>
  <si>
    <t>T. Spears</t>
  </si>
  <si>
    <t>C. Hubbard</t>
  </si>
  <si>
    <t>T. Allgeier</t>
  </si>
  <si>
    <t>J. Browning</t>
  </si>
  <si>
    <t>Z. Charbonnet</t>
  </si>
  <si>
    <t>A. Gibson</t>
  </si>
  <si>
    <t>J. Flacco</t>
  </si>
  <si>
    <t>T. Benson</t>
  </si>
  <si>
    <t>B. Corum</t>
  </si>
  <si>
    <t>J. McLaughlin</t>
  </si>
  <si>
    <t>T. Chandler</t>
  </si>
  <si>
    <t>C. Brown</t>
  </si>
  <si>
    <t>R. Dowdle</t>
  </si>
  <si>
    <t>K. Herbert</t>
  </si>
  <si>
    <t>J.J. McCarthy</t>
  </si>
  <si>
    <t>S. Perine</t>
  </si>
  <si>
    <t>N. Chubb</t>
  </si>
  <si>
    <t>B. Irving</t>
  </si>
  <si>
    <t>T. Tracy Jr.</t>
  </si>
  <si>
    <t>J. Mason</t>
  </si>
  <si>
    <t>J.K. Dobbins</t>
  </si>
  <si>
    <t>Pick#</t>
  </si>
  <si>
    <t>Round</t>
  </si>
  <si>
    <t>Pick</t>
  </si>
  <si>
    <t>Owner</t>
  </si>
  <si>
    <t>Pos#</t>
  </si>
  <si>
    <t>Slingin' Herb</t>
  </si>
  <si>
    <t>Team Martens</t>
  </si>
  <si>
    <t>Django Achaned</t>
  </si>
  <si>
    <t>Tig Bits</t>
  </si>
  <si>
    <t>Blitz</t>
  </si>
  <si>
    <t>DoughBoy$</t>
  </si>
  <si>
    <t>Gimme Moore</t>
  </si>
  <si>
    <t>Keepers</t>
  </si>
  <si>
    <t>Wkly Avg</t>
  </si>
  <si>
    <t>QBs</t>
  </si>
  <si>
    <t>RBs</t>
  </si>
  <si>
    <t>WRs</t>
  </si>
  <si>
    <t>TEs</t>
  </si>
  <si>
    <t>Suck My Footballz</t>
  </si>
  <si>
    <t>Silence of the Lamb</t>
  </si>
  <si>
    <t>M. Penix Jr.</t>
  </si>
  <si>
    <t>C. Ward</t>
  </si>
  <si>
    <t>T. Shough</t>
  </si>
  <si>
    <t>J. Dart</t>
  </si>
  <si>
    <t>S. Sanders</t>
  </si>
  <si>
    <t>J. Winston</t>
  </si>
  <si>
    <t>S. Rattler</t>
  </si>
  <si>
    <t>K. Pickett</t>
  </si>
  <si>
    <t>D. Gabriel</t>
  </si>
  <si>
    <t>J. Milton III</t>
  </si>
  <si>
    <t>M. Willis</t>
  </si>
  <si>
    <t>24 Pts</t>
  </si>
  <si>
    <t>25 Proj</t>
  </si>
  <si>
    <t>N. Mullens</t>
  </si>
  <si>
    <t>G. Minshew</t>
  </si>
  <si>
    <t>T. Lance</t>
  </si>
  <si>
    <t>J. Dobbs</t>
  </si>
  <si>
    <t>H. Hooker</t>
  </si>
  <si>
    <t>A. Jeanty</t>
  </si>
  <si>
    <t>O. Hampton</t>
  </si>
  <si>
    <t>R.J. Harvey</t>
  </si>
  <si>
    <t>T. Henderson</t>
  </si>
  <si>
    <t>Q. Judklins</t>
  </si>
  <si>
    <t>A. Jones Sr.</t>
  </si>
  <si>
    <t>K. Johnson</t>
  </si>
  <si>
    <t>B. Robinson Jr.</t>
  </si>
  <si>
    <t>C. Skattebo</t>
  </si>
  <si>
    <t>J. Blue</t>
  </si>
  <si>
    <t>B. Tuten</t>
  </si>
  <si>
    <t>R. Davis</t>
  </si>
  <si>
    <t>J. Wright</t>
  </si>
  <si>
    <t>I. Guerendo</t>
  </si>
  <si>
    <t>J. Hill</t>
  </si>
  <si>
    <t>R. Johnson</t>
  </si>
  <si>
    <t>D. Sampson</t>
  </si>
  <si>
    <t>T. Bigsby</t>
  </si>
  <si>
    <t>M. Sanders</t>
  </si>
  <si>
    <t>D. Neal</t>
  </si>
  <si>
    <t>W. Shipley</t>
  </si>
  <si>
    <t>B. Allen</t>
  </si>
  <si>
    <t>M. Lloyd</t>
  </si>
  <si>
    <t>K. Hunt</t>
  </si>
  <si>
    <t>S. Tucker</t>
  </si>
  <si>
    <t>T. Johnson</t>
  </si>
  <si>
    <t>K. Monangai</t>
  </si>
  <si>
    <t>I. Davis</t>
  </si>
  <si>
    <t>K. Miller</t>
  </si>
  <si>
    <t>T. Brooks</t>
  </si>
  <si>
    <t>D. Pierce</t>
  </si>
  <si>
    <t>E. Wilson</t>
  </si>
  <si>
    <t>J. Hunter</t>
  </si>
  <si>
    <t>T. Etienne</t>
  </si>
  <si>
    <t>C. Rodriguez Jr.</t>
  </si>
  <si>
    <t>J. James</t>
  </si>
  <si>
    <t>B. Smith</t>
  </si>
  <si>
    <t>A. Abdullah</t>
  </si>
  <si>
    <t>K. Gainwell</t>
  </si>
  <si>
    <t>E. Demercado</t>
  </si>
  <si>
    <t>D. Ogunbowale</t>
  </si>
  <si>
    <t>T. Goodson</t>
  </si>
  <si>
    <t>W. Marks</t>
  </si>
  <si>
    <t>E. Mitchell</t>
  </si>
  <si>
    <t>K. Mitchell</t>
  </si>
  <si>
    <t>D. Martinez</t>
  </si>
  <si>
    <t>A. Mattison</t>
  </si>
  <si>
    <t>K. Juszcyzk</t>
  </si>
  <si>
    <t>C. Akers</t>
  </si>
  <si>
    <t>K. Mullings</t>
  </si>
  <si>
    <t>M. Andrews</t>
  </si>
  <si>
    <t>T. Kelce</t>
  </si>
  <si>
    <t>D. Njoku</t>
  </si>
  <si>
    <t>C. Loveland</t>
  </si>
  <si>
    <t>T. Warren</t>
  </si>
  <si>
    <t>E. Engram</t>
  </si>
  <si>
    <t>J. Ferguson</t>
  </si>
  <si>
    <t>D. Goedert</t>
  </si>
  <si>
    <t>T. Kraft</t>
  </si>
  <si>
    <t>D. Kincaid</t>
  </si>
  <si>
    <t>H. Henry</t>
  </si>
  <si>
    <t>K. Pitts</t>
  </si>
  <si>
    <t>Z. Ertz</t>
  </si>
  <si>
    <t>B. Strange</t>
  </si>
  <si>
    <t>M. Taylor</t>
  </si>
  <si>
    <t>C. Otton</t>
  </si>
  <si>
    <t>M. Gesicki</t>
  </si>
  <si>
    <t>J. Smith</t>
  </si>
  <si>
    <t>C. Okonkwo</t>
  </si>
  <si>
    <t>J. Johnson</t>
  </si>
  <si>
    <t>D. Schultz</t>
  </si>
  <si>
    <t>I. Likely</t>
  </si>
  <si>
    <t>E. Arroyo</t>
  </si>
  <si>
    <t>D. Waller</t>
  </si>
  <si>
    <t>J. Sanders</t>
  </si>
  <si>
    <t>P. Freiermuth</t>
  </si>
  <si>
    <t>N. Gray</t>
  </si>
  <si>
    <t>A.J. Barner</t>
  </si>
  <si>
    <t>C. Kmet</t>
  </si>
  <si>
    <t>H. Fannin Jr.</t>
  </si>
  <si>
    <t>T. Higbee</t>
  </si>
  <si>
    <t>M. Mayer</t>
  </si>
  <si>
    <t>N. Fant</t>
  </si>
  <si>
    <t>W. Dissly</t>
  </si>
  <si>
    <t>T. Conklin</t>
  </si>
  <si>
    <t>O. Gadsden</t>
  </si>
  <si>
    <t>B. Sinnot</t>
  </si>
  <si>
    <t>D. Knox</t>
  </si>
  <si>
    <t>T. Ferguson</t>
  </si>
  <si>
    <t>T. Hill</t>
  </si>
  <si>
    <t>L. Musgrave</t>
  </si>
  <si>
    <t>A. Hooper</t>
  </si>
  <si>
    <t>E. Higgins</t>
  </si>
  <si>
    <t>J. Oliver</t>
  </si>
  <si>
    <t>Eagles</t>
  </si>
  <si>
    <t>Ravens</t>
  </si>
  <si>
    <t>Texans</t>
  </si>
  <si>
    <t>Broncos</t>
  </si>
  <si>
    <t>Vikings</t>
  </si>
  <si>
    <t>Steelers</t>
  </si>
  <si>
    <t>Chiefs</t>
  </si>
  <si>
    <t>Bills</t>
  </si>
  <si>
    <t>Lions</t>
  </si>
  <si>
    <t>Cowboys</t>
  </si>
  <si>
    <t>Rams</t>
  </si>
  <si>
    <t>Dolphins</t>
  </si>
  <si>
    <t>49ers</t>
  </si>
  <si>
    <t>Packers</t>
  </si>
  <si>
    <t>Bears</t>
  </si>
  <si>
    <t>Seahawks</t>
  </si>
  <si>
    <t>Buccaneers</t>
  </si>
  <si>
    <t>Commanders</t>
  </si>
  <si>
    <t>Cardinals</t>
  </si>
  <si>
    <t>Chargers</t>
  </si>
  <si>
    <t>Giants</t>
  </si>
  <si>
    <t>Jets</t>
  </si>
  <si>
    <t>Colts</t>
  </si>
  <si>
    <t>Browns</t>
  </si>
  <si>
    <t>Bengals</t>
  </si>
  <si>
    <t>Patriots</t>
  </si>
  <si>
    <t>Saints</t>
  </si>
  <si>
    <t>Jaguars</t>
  </si>
  <si>
    <t>Raiders</t>
  </si>
  <si>
    <t>Panthers</t>
  </si>
  <si>
    <t>Titans</t>
  </si>
  <si>
    <t>Falcons</t>
  </si>
  <si>
    <t>B. Aubrey</t>
  </si>
  <si>
    <t>C. Dicker</t>
  </si>
  <si>
    <t>J. Bates</t>
  </si>
  <si>
    <t>K. Fairbairn</t>
  </si>
  <si>
    <t>H. Butker</t>
  </si>
  <si>
    <t>C. McLaughlin</t>
  </si>
  <si>
    <t>C. Boswell</t>
  </si>
  <si>
    <t>D. Carlson</t>
  </si>
  <si>
    <t>M . Gay</t>
  </si>
  <si>
    <t>E. McPherson</t>
  </si>
  <si>
    <t>T. Bass</t>
  </si>
  <si>
    <t>W. Reichard</t>
  </si>
  <si>
    <t>J. Elliott</t>
  </si>
  <si>
    <t>T. Loop</t>
  </si>
  <si>
    <t>W. Lutz</t>
  </si>
  <si>
    <t>B. McManus</t>
  </si>
  <si>
    <t>J. Moody</t>
  </si>
  <si>
    <t>Y. Koo</t>
  </si>
  <si>
    <t>J. Karty</t>
  </si>
  <si>
    <t>C. Little</t>
  </si>
  <si>
    <t>C. Ryland</t>
  </si>
  <si>
    <t>C. Santos</t>
  </si>
  <si>
    <t>J. Myers</t>
  </si>
  <si>
    <t>B. Grupe</t>
  </si>
  <si>
    <t>S. Shrader</t>
  </si>
  <si>
    <t>N. Folk</t>
  </si>
  <si>
    <t>M. Wright</t>
  </si>
  <si>
    <t>J. Slye</t>
  </si>
  <si>
    <t>G. Gano</t>
  </si>
  <si>
    <t>D. Hopkins</t>
  </si>
  <si>
    <t>A. Borregales</t>
  </si>
  <si>
    <t>D.J. Giddens</t>
  </si>
  <si>
    <t>P. Nacua</t>
  </si>
  <si>
    <t>N. Collins</t>
  </si>
  <si>
    <t>B. Thomas Jr.</t>
  </si>
  <si>
    <t>M. Nabers</t>
  </si>
  <si>
    <t>D. London</t>
  </si>
  <si>
    <t>L. McConkey</t>
  </si>
  <si>
    <t>T. McLaurin</t>
  </si>
  <si>
    <t>M. Harrison Jr.</t>
  </si>
  <si>
    <t>M. Evans</t>
  </si>
  <si>
    <t>T. Higgins</t>
  </si>
  <si>
    <t>D. Adams</t>
  </si>
  <si>
    <t>J. Smith-Njigba</t>
  </si>
  <si>
    <t>D.J. Moore</t>
  </si>
  <si>
    <t>D.K. Metcalf</t>
  </si>
  <si>
    <t>C. Sutton</t>
  </si>
  <si>
    <t>X. Worthy</t>
  </si>
  <si>
    <t>D. Smith</t>
  </si>
  <si>
    <t>G. Pickens</t>
  </si>
  <si>
    <t>T. McMillan</t>
  </si>
  <si>
    <t>R. Rice</t>
  </si>
  <si>
    <t>C. Ridley</t>
  </si>
  <si>
    <t>J. Waddle</t>
  </si>
  <si>
    <t>T. Hunter</t>
  </si>
  <si>
    <t>J. Jeudy</t>
  </si>
  <si>
    <t>Z. Flowers</t>
  </si>
  <si>
    <t>J. Jennings</t>
  </si>
  <si>
    <t>R. Odunze</t>
  </si>
  <si>
    <t>J. Meyers</t>
  </si>
  <si>
    <t>C. Godwin</t>
  </si>
  <si>
    <t>D. Samuel</t>
  </si>
  <si>
    <t>C. Olave</t>
  </si>
  <si>
    <t>J. Addison</t>
  </si>
  <si>
    <t>J. Reed</t>
  </si>
  <si>
    <t>R. Pearsall</t>
  </si>
  <si>
    <t>S. Diggs</t>
  </si>
  <si>
    <t>R. Shaheed</t>
  </si>
  <si>
    <t>K. Shakir</t>
  </si>
  <si>
    <t>M. Golden</t>
  </si>
  <si>
    <t>M. Mims Jr.</t>
  </si>
  <si>
    <t>J. Higgins</t>
  </si>
  <si>
    <t>J. Downs</t>
  </si>
  <si>
    <t xml:space="preserve">M. Pittman Jr. </t>
  </si>
  <si>
    <t>D. Mooney</t>
  </si>
  <si>
    <t>C. Kupp</t>
  </si>
  <si>
    <t>E. Egbuka</t>
  </si>
  <si>
    <t>T. Harris</t>
  </si>
  <si>
    <t>C. Kirk</t>
  </si>
  <si>
    <t>K. Coleman</t>
  </si>
  <si>
    <t>J. Palmer</t>
  </si>
  <si>
    <t>L. Burden III</t>
  </si>
  <si>
    <t>R. Bateman</t>
  </si>
  <si>
    <t>A. Thielen</t>
  </si>
  <si>
    <t>D. Douglas</t>
  </si>
  <si>
    <t>H. Brown</t>
  </si>
  <si>
    <t>J. Bech</t>
  </si>
  <si>
    <t>W. Robinson</t>
  </si>
  <si>
    <t>J. McMillan</t>
  </si>
  <si>
    <t>A. Pierce</t>
  </si>
  <si>
    <t>M. Wilson</t>
  </si>
  <si>
    <t>D. Brown</t>
  </si>
  <si>
    <t>C. Tillman</t>
  </si>
  <si>
    <t>R. Doubs</t>
  </si>
  <si>
    <t>D. Slayton</t>
  </si>
  <si>
    <t>J. Coker</t>
  </si>
  <si>
    <t>Q. Johnston</t>
  </si>
  <si>
    <t>N. Westbrook-Ikhine</t>
  </si>
  <si>
    <t>J. Whittington</t>
  </si>
  <si>
    <t>X. Legette</t>
  </si>
  <si>
    <t>K. Allen</t>
  </si>
  <si>
    <t>D. Wicks</t>
  </si>
  <si>
    <t>E. Ayomanor</t>
  </si>
  <si>
    <t>C. Austin III</t>
  </si>
  <si>
    <t>J. Noel</t>
  </si>
  <si>
    <t>M. Valdes-Scantling</t>
  </si>
  <si>
    <t>A. Cooper</t>
  </si>
  <si>
    <t>K. Boutte</t>
  </si>
  <si>
    <t>D. Thornton Jr.</t>
  </si>
  <si>
    <t>J. Royals</t>
  </si>
  <si>
    <t>J. Nailor</t>
  </si>
  <si>
    <t>K. Turpin</t>
  </si>
  <si>
    <t>A. Iosivas</t>
  </si>
  <si>
    <t>T. Franklin</t>
  </si>
  <si>
    <t>T. Atwell</t>
  </si>
  <si>
    <t>G. Dortch</t>
  </si>
  <si>
    <t>D. Johnson</t>
  </si>
  <si>
    <t>B. Cooks</t>
  </si>
  <si>
    <t>J. Tolbert</t>
  </si>
  <si>
    <t>T. Lockett</t>
  </si>
  <si>
    <t>O. Gordon II</t>
  </si>
  <si>
    <t>TE</t>
  </si>
  <si>
    <t>24 Rank</t>
  </si>
  <si>
    <t>25 Pick</t>
  </si>
  <si>
    <t>GibSons of Anarchy</t>
  </si>
  <si>
    <t>Are You Winning Son?</t>
  </si>
  <si>
    <t>Built Ford Tough</t>
  </si>
  <si>
    <t>IR-Replacables</t>
  </si>
  <si>
    <t>J. Croskey-Merritt</t>
  </si>
  <si>
    <t>K. Rourke</t>
  </si>
  <si>
    <t>M. 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</si>
</sst>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4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u/>
      <sz val="12"/>
      <color theme="0"/>
      <name val="Aptos Narrow"/>
      <family val="2"/>
      <scheme val="minor"/>
    </font>
    <font>
      <b/>
      <sz val="11"/>
      <color rgb="FF000000"/>
      <name val="Aptos Narrow"/>
      <family val="2"/>
    </font>
    <font>
      <b/>
      <sz val="11"/>
      <color theme="1"/>
      <name val="Aptos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3E98F"/>
        <bgColor indexed="64"/>
      </patternFill>
    </fill>
    <fill>
      <patternFill patternType="solid">
        <fgColor rgb="FFF7AFDA"/>
        <bgColor indexed="64"/>
      </patternFill>
    </fill>
    <fill>
      <patternFill patternType="solid">
        <fgColor rgb="FFC197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theme="1" tint="0.34998626667073579"/>
        <bgColor indexed="64"/>
      </patternFill>
    </fill>
  </fills>
  <borders count="14">
    <border>
      <left/>
      <right/>
      <top/>
      <bottom/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/>
      <top/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7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" fillId="3" borderId="1" xfId="0" quotePrefix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0" fillId="0" borderId="0" xfId="0" applyAlignment="1">
      <alignment vertical="center" wrapText="1"/>
    </xf>
    <xf numFmtId="1" fontId="0" fillId="4" borderId="0" xfId="0" applyNumberFormat="1" applyFill="1" applyAlignment="1">
      <alignment horizontal="center"/>
    </xf>
    <xf numFmtId="0" fontId="0" fillId="0" borderId="0" xfId="0" quotePrefix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" fontId="8" fillId="2" borderId="1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2" fontId="0" fillId="0" borderId="0" xfId="0" applyNumberFormat="1" applyAlignment="1">
      <alignment horizontal="center" wrapText="1"/>
    </xf>
    <xf numFmtId="0" fontId="2" fillId="0" borderId="6" xfId="0" applyFon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0" fillId="11" borderId="0" xfId="0" applyFill="1" applyAlignment="1">
      <alignment horizontal="center"/>
    </xf>
    <xf numFmtId="0" fontId="0" fillId="11" borderId="5" xfId="0" applyFill="1" applyBorder="1" applyAlignment="1">
      <alignment horizontal="center"/>
    </xf>
    <xf numFmtId="0" fontId="0" fillId="12" borderId="0" xfId="0" applyFill="1" applyAlignment="1">
      <alignment horizontal="center"/>
    </xf>
    <xf numFmtId="0" fontId="0" fillId="12" borderId="5" xfId="0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0" fontId="0" fillId="14" borderId="5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15" borderId="5" xfId="0" applyFill="1" applyBorder="1" applyAlignment="1">
      <alignment horizontal="center"/>
    </xf>
    <xf numFmtId="0" fontId="0" fillId="15" borderId="7" xfId="0" applyFill="1" applyBorder="1" applyAlignment="1">
      <alignment horizontal="center"/>
    </xf>
    <xf numFmtId="2" fontId="0" fillId="0" borderId="5" xfId="0" applyNumberFormat="1" applyBorder="1" applyAlignment="1">
      <alignment horizontal="center" wrapText="1"/>
    </xf>
    <xf numFmtId="0" fontId="6" fillId="2" borderId="13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5" fillId="10" borderId="10" xfId="0" applyFont="1" applyFill="1" applyBorder="1" applyAlignment="1">
      <alignment horizontal="center"/>
    </xf>
    <xf numFmtId="0" fontId="5" fillId="10" borderId="0" xfId="0" applyFont="1" applyFill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5" fillId="7" borderId="0" xfId="0" applyFont="1" applyFill="1" applyAlignment="1">
      <alignment horizontal="center"/>
    </xf>
    <xf numFmtId="0" fontId="5" fillId="8" borderId="10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5" fillId="9" borderId="10" xfId="0" applyFont="1" applyFill="1" applyBorder="1" applyAlignment="1">
      <alignment horizontal="center"/>
    </xf>
    <xf numFmtId="0" fontId="5" fillId="9" borderId="0" xfId="0" applyFont="1" applyFill="1" applyAlignment="1">
      <alignment horizontal="center"/>
    </xf>
  </cellXfs>
  <cellStyles count="1">
    <cellStyle name="Normal" xfId="0" builtinId="0"/>
  </cellStyles>
  <dxfs count="1030">
    <dxf>
      <font>
        <color rgb="FFFF0000"/>
      </font>
      <fill>
        <patternFill>
          <bgColor theme="3" tint="0.499984740745262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206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00"/>
      </font>
      <fill>
        <patternFill>
          <bgColor rgb="FFC0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theme="5"/>
      </font>
      <fill>
        <patternFill>
          <bgColor rgb="FF19E6E1"/>
        </patternFill>
      </fill>
    </dxf>
    <dxf>
      <font>
        <color rgb="FFFF0000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19E6E1"/>
        </patternFill>
      </fill>
    </dxf>
    <dxf>
      <font>
        <color auto="1"/>
      </font>
      <fill>
        <patternFill>
          <bgColor rgb="FF00B0F0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CDF3D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rgb="FFD1D1D1"/>
        </patternFill>
      </fill>
    </dxf>
    <dxf>
      <fill>
        <patternFill>
          <bgColor rgb="FFD7FDFA"/>
        </patternFill>
      </fill>
    </dxf>
    <dxf>
      <fill>
        <patternFill>
          <bgColor theme="9" tint="0.79998168889431442"/>
        </patternFill>
      </fill>
    </dxf>
    <dxf>
      <fill>
        <patternFill>
          <bgColor rgb="FFFFF2C9"/>
        </patternFill>
      </fill>
    </dxf>
    <dxf>
      <fill>
        <patternFill>
          <bgColor rgb="FFF9E7F7"/>
        </patternFill>
      </fill>
    </dxf>
    <dxf>
      <fill>
        <patternFill>
          <bgColor rgb="FFDDCEF2"/>
        </patternFill>
      </fill>
    </dxf>
    <dxf>
      <fill>
        <patternFill>
          <bgColor theme="3" tint="0.89996032593768116"/>
        </patternFill>
      </fill>
    </dxf>
    <dxf>
      <fill>
        <patternFill>
          <bgColor rgb="FFFAFECA"/>
        </patternFill>
      </fill>
    </dxf>
    <dxf>
      <fill>
        <patternFill>
          <bgColor rgb="FFFFD5D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B9"/>
        </patternFill>
      </fill>
    </dxf>
    <dxf>
      <fill>
        <patternFill>
          <bgColor rgb="FFFCBAF7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theme="0"/>
      </font>
      <fill>
        <patternFill>
          <bgColor rgb="FFBF571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002060"/>
        </patternFill>
      </fill>
    </dxf>
    <dxf>
      <fill>
        <patternFill>
          <bgColor theme="5" tint="0.59996337778862885"/>
        </patternFill>
      </fill>
    </dxf>
    <dxf>
      <fill>
        <patternFill>
          <bgColor rgb="FFFFFFB9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CBAF7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5"/>
      </font>
      <fill>
        <patternFill>
          <bgColor rgb="FF00206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00A7E2"/>
      </font>
      <fill>
        <patternFill>
          <bgColor rgb="FFA46F18"/>
        </patternFill>
      </fill>
    </dxf>
    <dxf>
      <font>
        <color rgb="FFFFFF00"/>
      </font>
      <fill>
        <patternFill>
          <bgColor rgb="FF7030A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C00000"/>
      </font>
      <fill>
        <patternFill>
          <bgColor rgb="FF002060"/>
        </patternFill>
      </fill>
    </dxf>
    <dxf>
      <fill>
        <patternFill>
          <bgColor rgb="FFFAFECA"/>
        </patternFill>
      </fill>
    </dxf>
    <dxf>
      <fill>
        <patternFill>
          <bgColor rgb="FFFFD5D5"/>
        </patternFill>
      </fill>
    </dxf>
    <dxf>
      <fill>
        <patternFill>
          <bgColor rgb="FFDDCEF2"/>
        </patternFill>
      </fill>
    </dxf>
    <dxf>
      <fill>
        <patternFill>
          <bgColor theme="3" tint="0.89996032593768116"/>
        </patternFill>
      </fill>
    </dxf>
    <dxf>
      <fill>
        <patternFill>
          <bgColor rgb="FFCDF3D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D7FDFA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rgb="FFD1D1D1"/>
        </patternFill>
      </fill>
    </dxf>
    <dxf>
      <fill>
        <patternFill>
          <bgColor rgb="FFFFF2C9"/>
        </patternFill>
      </fill>
    </dxf>
    <dxf>
      <fill>
        <patternFill>
          <bgColor rgb="FFF9E7F7"/>
        </patternFill>
      </fill>
    </dxf>
    <dxf>
      <fill>
        <patternFill>
          <bgColor theme="5" tint="0.79998168889431442"/>
        </patternFill>
      </fill>
    </dxf>
    <dxf>
      <fill>
        <patternFill>
          <bgColor rgb="FFFFF2C9"/>
        </patternFill>
      </fill>
    </dxf>
    <dxf>
      <fill>
        <patternFill>
          <bgColor rgb="FFF9E7F7"/>
        </patternFill>
      </fill>
    </dxf>
    <dxf>
      <fill>
        <patternFill>
          <bgColor rgb="FFDDCEF2"/>
        </patternFill>
      </fill>
    </dxf>
    <dxf>
      <fill>
        <patternFill>
          <bgColor theme="3" tint="0.89996032593768116"/>
        </patternFill>
      </fill>
    </dxf>
    <dxf>
      <fill>
        <patternFill>
          <bgColor rgb="FFCDF3D2"/>
        </patternFill>
      </fill>
    </dxf>
    <dxf>
      <fill>
        <patternFill>
          <bgColor rgb="FFFAFECA"/>
        </patternFill>
      </fill>
    </dxf>
    <dxf>
      <fill>
        <patternFill>
          <bgColor rgb="FFD7FDFA"/>
        </patternFill>
      </fill>
    </dxf>
    <dxf>
      <fill>
        <patternFill>
          <bgColor rgb="FFFFD5D5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rgb="FFD1D1D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rgb="FFD1D1D1"/>
        </patternFill>
      </fill>
    </dxf>
    <dxf>
      <fill>
        <patternFill>
          <bgColor theme="9" tint="0.79998168889431442"/>
        </patternFill>
      </fill>
    </dxf>
    <dxf>
      <fill>
        <patternFill>
          <bgColor rgb="FFF9E7F7"/>
        </patternFill>
      </fill>
    </dxf>
    <dxf>
      <fill>
        <patternFill>
          <bgColor rgb="FFDDCEF2"/>
        </patternFill>
      </fill>
    </dxf>
    <dxf>
      <fill>
        <patternFill>
          <bgColor theme="3" tint="0.89996032593768116"/>
        </patternFill>
      </fill>
    </dxf>
    <dxf>
      <fill>
        <patternFill>
          <bgColor rgb="FFCDF3D2"/>
        </patternFill>
      </fill>
    </dxf>
    <dxf>
      <fill>
        <patternFill>
          <bgColor rgb="FFFAFECA"/>
        </patternFill>
      </fill>
    </dxf>
    <dxf>
      <fill>
        <patternFill>
          <bgColor rgb="FFFFD5D5"/>
        </patternFill>
      </fill>
    </dxf>
    <dxf>
      <fill>
        <patternFill>
          <bgColor rgb="FFD7FDFA"/>
        </patternFill>
      </fill>
    </dxf>
    <dxf>
      <fill>
        <patternFill>
          <bgColor rgb="FFFFF2C9"/>
        </patternFill>
      </fill>
    </dxf>
    <dxf>
      <fill>
        <patternFill>
          <bgColor theme="9" tint="0.59996337778862885"/>
        </patternFill>
      </fill>
    </dxf>
    <dxf>
      <fill>
        <patternFill>
          <bgColor rgb="FFFCBAF7"/>
        </patternFill>
      </fill>
    </dxf>
    <dxf>
      <fill>
        <patternFill>
          <bgColor rgb="FFFFFFB9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B9"/>
        </patternFill>
      </fill>
    </dxf>
    <dxf>
      <fill>
        <patternFill>
          <bgColor rgb="FFFCBAF7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CBAF7"/>
        </patternFill>
      </fill>
    </dxf>
    <dxf>
      <fill>
        <patternFill>
          <bgColor rgb="FFFFFFB9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FFFF00"/>
      </font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ill>
        <patternFill>
          <bgColor rgb="FFFFD5D5"/>
        </patternFill>
      </fill>
    </dxf>
    <dxf>
      <fill>
        <patternFill>
          <bgColor rgb="FFFFF2C9"/>
        </patternFill>
      </fill>
    </dxf>
    <dxf>
      <fill>
        <patternFill>
          <bgColor rgb="FFF9E7F7"/>
        </patternFill>
      </fill>
    </dxf>
    <dxf>
      <fill>
        <patternFill>
          <bgColor rgb="FFDDCEF2"/>
        </patternFill>
      </fill>
    </dxf>
    <dxf>
      <fill>
        <patternFill>
          <bgColor theme="3" tint="0.89996032593768116"/>
        </patternFill>
      </fill>
    </dxf>
    <dxf>
      <fill>
        <patternFill>
          <bgColor rgb="FFCDF3D2"/>
        </patternFill>
      </fill>
    </dxf>
    <dxf>
      <fill>
        <patternFill>
          <bgColor rgb="FFFAFECA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rgb="FFD1D1D1"/>
        </patternFill>
      </fill>
    </dxf>
    <dxf>
      <fill>
        <patternFill>
          <bgColor rgb="FFD7FDFA"/>
        </patternFill>
      </fill>
    </dxf>
    <dxf>
      <fill>
        <patternFill>
          <bgColor rgb="FFFAFECA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rgb="FFD1D1D1"/>
        </patternFill>
      </fill>
    </dxf>
    <dxf>
      <fill>
        <patternFill>
          <bgColor rgb="FFD7FDFA"/>
        </patternFill>
      </fill>
    </dxf>
    <dxf>
      <fill>
        <patternFill>
          <bgColor theme="9" tint="0.79998168889431442"/>
        </patternFill>
      </fill>
    </dxf>
    <dxf>
      <fill>
        <patternFill>
          <bgColor rgb="FFFFF2C9"/>
        </patternFill>
      </fill>
    </dxf>
    <dxf>
      <fill>
        <patternFill>
          <bgColor rgb="FFF9E7F7"/>
        </patternFill>
      </fill>
    </dxf>
    <dxf>
      <fill>
        <patternFill>
          <bgColor rgb="FFDDCEF2"/>
        </patternFill>
      </fill>
    </dxf>
    <dxf>
      <fill>
        <patternFill>
          <bgColor theme="3" tint="0.89996032593768116"/>
        </patternFill>
      </fill>
    </dxf>
    <dxf>
      <fill>
        <patternFill>
          <bgColor rgb="FFCDF3D2"/>
        </patternFill>
      </fill>
    </dxf>
    <dxf>
      <fill>
        <patternFill>
          <bgColor rgb="FFFFD5D5"/>
        </patternFill>
      </fill>
    </dxf>
    <dxf>
      <fill>
        <patternFill>
          <bgColor rgb="FFFFD5D5"/>
        </patternFill>
      </fill>
    </dxf>
    <dxf>
      <fill>
        <patternFill>
          <bgColor rgb="FFFAFECA"/>
        </patternFill>
      </fill>
    </dxf>
    <dxf>
      <fill>
        <patternFill>
          <bgColor rgb="FFCDF3D2"/>
        </patternFill>
      </fill>
    </dxf>
    <dxf>
      <fill>
        <patternFill>
          <bgColor theme="3" tint="0.89996032593768116"/>
        </patternFill>
      </fill>
    </dxf>
    <dxf>
      <font>
        <color auto="1"/>
      </font>
      <fill>
        <patternFill>
          <bgColor rgb="FFD1D1D1"/>
        </patternFill>
      </fill>
    </dxf>
    <dxf>
      <fill>
        <patternFill>
          <bgColor rgb="FFF9E7F7"/>
        </patternFill>
      </fill>
    </dxf>
    <dxf>
      <fill>
        <patternFill>
          <bgColor rgb="FFFFF2C9"/>
        </patternFill>
      </fill>
    </dxf>
    <dxf>
      <fill>
        <patternFill>
          <bgColor theme="9" tint="0.79998168889431442"/>
        </patternFill>
      </fill>
    </dxf>
    <dxf>
      <fill>
        <patternFill>
          <bgColor rgb="FFD7FDFA"/>
        </patternFill>
      </fill>
    </dxf>
    <dxf>
      <fill>
        <patternFill>
          <bgColor rgb="FFDDCEF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B9"/>
        </patternFill>
      </fill>
    </dxf>
    <dxf>
      <fill>
        <patternFill>
          <bgColor rgb="FFFCBAF7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B9"/>
        </patternFill>
      </fill>
    </dxf>
    <dxf>
      <fill>
        <patternFill>
          <bgColor rgb="FFFCBAF7"/>
        </patternFill>
      </fill>
    </dxf>
    <dxf>
      <fill>
        <patternFill>
          <bgColor rgb="FFFCBAF7"/>
        </patternFill>
      </fill>
    </dxf>
    <dxf>
      <fill>
        <patternFill>
          <bgColor theme="9" tint="0.59996337778862885"/>
        </patternFill>
      </fill>
    </dxf>
    <dxf>
      <fill>
        <patternFill>
          <bgColor rgb="FFFFFFB9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206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3" tint="0.89996032593768116"/>
        </patternFill>
      </fill>
    </dxf>
    <dxf>
      <fill>
        <patternFill>
          <bgColor rgb="FFCDF3D2"/>
        </patternFill>
      </fill>
    </dxf>
    <dxf>
      <fill>
        <patternFill>
          <bgColor rgb="FFFAFECA"/>
        </patternFill>
      </fill>
    </dxf>
    <dxf>
      <fill>
        <patternFill>
          <bgColor rgb="FFFFD5D5"/>
        </patternFill>
      </fill>
    </dxf>
    <dxf>
      <fill>
        <patternFill>
          <bgColor rgb="FFDDCEF2"/>
        </patternFill>
      </fill>
    </dxf>
    <dxf>
      <fill>
        <patternFill>
          <bgColor rgb="FFF9E7F7"/>
        </patternFill>
      </fill>
    </dxf>
    <dxf>
      <fill>
        <patternFill>
          <bgColor rgb="FFFFF2C9"/>
        </patternFill>
      </fill>
    </dxf>
    <dxf>
      <fill>
        <patternFill>
          <bgColor theme="9" tint="0.79998168889431442"/>
        </patternFill>
      </fill>
    </dxf>
    <dxf>
      <fill>
        <patternFill>
          <bgColor rgb="FFD7FDFA"/>
        </patternFill>
      </fill>
    </dxf>
    <dxf>
      <font>
        <color auto="1"/>
      </font>
      <fill>
        <patternFill>
          <bgColor rgb="FFD1D1D1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rgb="FFD1D1D1"/>
        </patternFill>
      </fill>
    </dxf>
    <dxf>
      <fill>
        <patternFill>
          <bgColor rgb="FFD7FDFA"/>
        </patternFill>
      </fill>
    </dxf>
    <dxf>
      <fill>
        <patternFill>
          <bgColor theme="9" tint="0.79998168889431442"/>
        </patternFill>
      </fill>
    </dxf>
    <dxf>
      <fill>
        <patternFill>
          <bgColor rgb="FFF9E7F7"/>
        </patternFill>
      </fill>
    </dxf>
    <dxf>
      <fill>
        <patternFill>
          <bgColor rgb="FFDDCEF2"/>
        </patternFill>
      </fill>
    </dxf>
    <dxf>
      <fill>
        <patternFill>
          <bgColor rgb="FFFFD5D5"/>
        </patternFill>
      </fill>
    </dxf>
    <dxf>
      <fill>
        <patternFill>
          <bgColor rgb="FFFAFECA"/>
        </patternFill>
      </fill>
    </dxf>
    <dxf>
      <fill>
        <patternFill>
          <bgColor rgb="FFCDF3D2"/>
        </patternFill>
      </fill>
    </dxf>
    <dxf>
      <fill>
        <patternFill>
          <bgColor rgb="FFFFF2C9"/>
        </patternFill>
      </fill>
    </dxf>
    <dxf>
      <fill>
        <patternFill>
          <bgColor theme="9" tint="0.79998168889431442"/>
        </patternFill>
      </fill>
    </dxf>
    <dxf>
      <fill>
        <patternFill>
          <bgColor rgb="FFD7FDFA"/>
        </patternFill>
      </fill>
    </dxf>
    <dxf>
      <font>
        <color auto="1"/>
      </font>
      <fill>
        <patternFill>
          <bgColor rgb="FFD1D1D1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D5D5"/>
        </patternFill>
      </fill>
    </dxf>
    <dxf>
      <fill>
        <patternFill>
          <bgColor rgb="FFFAFECA"/>
        </patternFill>
      </fill>
    </dxf>
    <dxf>
      <fill>
        <patternFill>
          <bgColor rgb="FFCDF3D2"/>
        </patternFill>
      </fill>
    </dxf>
    <dxf>
      <fill>
        <patternFill>
          <bgColor theme="3" tint="0.89996032593768116"/>
        </patternFill>
      </fill>
    </dxf>
    <dxf>
      <fill>
        <patternFill>
          <bgColor rgb="FFDDCEF2"/>
        </patternFill>
      </fill>
    </dxf>
    <dxf>
      <fill>
        <patternFill>
          <bgColor rgb="FFF9E7F7"/>
        </patternFill>
      </fill>
    </dxf>
    <dxf>
      <fill>
        <patternFill>
          <bgColor rgb="FFFFF2C9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B9"/>
        </patternFill>
      </fill>
    </dxf>
    <dxf>
      <fill>
        <patternFill>
          <bgColor rgb="FFFCBAF7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CBAF7"/>
        </patternFill>
      </fill>
    </dxf>
    <dxf>
      <fill>
        <patternFill>
          <bgColor rgb="FFFFFFB9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CBAF7"/>
        </patternFill>
      </fill>
    </dxf>
    <dxf>
      <fill>
        <patternFill>
          <bgColor rgb="FFFFFFB9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FF00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ill>
        <patternFill>
          <bgColor theme="7" tint="0.79998168889431442"/>
        </patternFill>
      </fill>
    </dxf>
    <dxf>
      <fill>
        <patternFill>
          <bgColor rgb="FFFFD5D5"/>
        </patternFill>
      </fill>
    </dxf>
    <dxf>
      <font>
        <color auto="1"/>
      </font>
      <fill>
        <patternFill>
          <bgColor rgb="FFD1D1D1"/>
        </patternFill>
      </fill>
    </dxf>
    <dxf>
      <fill>
        <patternFill>
          <bgColor rgb="FFD7FDFA"/>
        </patternFill>
      </fill>
    </dxf>
    <dxf>
      <fill>
        <patternFill>
          <bgColor theme="9" tint="0.79998168889431442"/>
        </patternFill>
      </fill>
    </dxf>
    <dxf>
      <fill>
        <patternFill>
          <bgColor rgb="FFFFF2C9"/>
        </patternFill>
      </fill>
    </dxf>
    <dxf>
      <fill>
        <patternFill>
          <bgColor rgb="FFF9E7F7"/>
        </patternFill>
      </fill>
    </dxf>
    <dxf>
      <fill>
        <patternFill>
          <bgColor rgb="FFDDCEF2"/>
        </patternFill>
      </fill>
    </dxf>
    <dxf>
      <fill>
        <patternFill>
          <bgColor theme="3" tint="0.89996032593768116"/>
        </patternFill>
      </fill>
    </dxf>
    <dxf>
      <fill>
        <patternFill>
          <bgColor rgb="FFCDF3D2"/>
        </patternFill>
      </fill>
    </dxf>
    <dxf>
      <fill>
        <patternFill>
          <bgColor rgb="FFFAFECA"/>
        </patternFill>
      </fill>
    </dxf>
    <dxf>
      <fill>
        <patternFill>
          <bgColor theme="5" tint="0.79998168889431442"/>
        </patternFill>
      </fill>
    </dxf>
    <dxf>
      <fill>
        <patternFill>
          <bgColor rgb="FFFAFECA"/>
        </patternFill>
      </fill>
    </dxf>
    <dxf>
      <fill>
        <patternFill>
          <bgColor rgb="FFCDF3D2"/>
        </patternFill>
      </fill>
    </dxf>
    <dxf>
      <fill>
        <patternFill>
          <bgColor theme="3" tint="0.89996032593768116"/>
        </patternFill>
      </fill>
    </dxf>
    <dxf>
      <fill>
        <patternFill>
          <bgColor rgb="FFDDCEF2"/>
        </patternFill>
      </fill>
    </dxf>
    <dxf>
      <fill>
        <patternFill>
          <bgColor rgb="FFF9E7F7"/>
        </patternFill>
      </fill>
    </dxf>
    <dxf>
      <fill>
        <patternFill>
          <bgColor rgb="FFFFD5D5"/>
        </patternFill>
      </fill>
    </dxf>
    <dxf>
      <font>
        <color auto="1"/>
      </font>
      <fill>
        <patternFill>
          <bgColor rgb="FFD1D1D1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2C9"/>
        </patternFill>
      </fill>
    </dxf>
    <dxf>
      <fill>
        <patternFill>
          <bgColor theme="9" tint="0.79998168889431442"/>
        </patternFill>
      </fill>
    </dxf>
    <dxf>
      <fill>
        <patternFill>
          <bgColor rgb="FFD7FDFA"/>
        </patternFill>
      </fill>
    </dxf>
    <dxf>
      <fill>
        <patternFill>
          <bgColor rgb="FFDDCEF2"/>
        </patternFill>
      </fill>
    </dxf>
    <dxf>
      <fill>
        <patternFill>
          <bgColor theme="7" tint="0.79998168889431442"/>
        </patternFill>
      </fill>
    </dxf>
    <dxf>
      <fill>
        <patternFill>
          <bgColor rgb="FFF9E7F7"/>
        </patternFill>
      </fill>
    </dxf>
    <dxf>
      <fill>
        <patternFill>
          <bgColor rgb="FFFFD5D5"/>
        </patternFill>
      </fill>
    </dxf>
    <dxf>
      <fill>
        <patternFill>
          <bgColor rgb="FFFAFECA"/>
        </patternFill>
      </fill>
    </dxf>
    <dxf>
      <fill>
        <patternFill>
          <bgColor rgb="FFCDF3D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rgb="FFD1D1D1"/>
        </patternFill>
      </fill>
    </dxf>
    <dxf>
      <fill>
        <patternFill>
          <bgColor rgb="FFD7FDFA"/>
        </patternFill>
      </fill>
    </dxf>
    <dxf>
      <fill>
        <patternFill>
          <bgColor theme="9" tint="0.79998168889431442"/>
        </patternFill>
      </fill>
    </dxf>
    <dxf>
      <fill>
        <patternFill>
          <bgColor rgb="FFFFF2C9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59996337778862885"/>
        </patternFill>
      </fill>
    </dxf>
    <dxf>
      <fill>
        <patternFill>
          <bgColor rgb="FFFFFFB9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CBAF7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B9"/>
        </patternFill>
      </fill>
    </dxf>
    <dxf>
      <fill>
        <patternFill>
          <bgColor theme="8" tint="0.59996337778862885"/>
        </patternFill>
      </fill>
    </dxf>
    <dxf>
      <fill>
        <patternFill>
          <bgColor rgb="FFFCBAF7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FFB9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CBAF7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solid">
          <fgColor rgb="FFC0E6F5"/>
          <bgColor rgb="FF000000"/>
        </patternFill>
      </fill>
    </dxf>
    <dxf>
      <border outline="0">
        <top style="thin">
          <color theme="1"/>
        </top>
      </border>
    </dxf>
    <dxf>
      <border outline="0">
        <right style="thin">
          <color theme="1"/>
        </right>
        <bottom style="medium">
          <color theme="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solid">
          <fgColor rgb="FFC0E6F5"/>
          <bgColor rgb="FF000000"/>
        </patternFill>
      </fill>
    </dxf>
    <dxf>
      <border outline="0">
        <top style="thin">
          <color theme="1"/>
        </top>
      </border>
    </dxf>
    <dxf>
      <border outline="0">
        <right style="thin">
          <color theme="1"/>
        </right>
        <bottom style="medium">
          <color theme="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numFmt numFmtId="2" formatCode="0.00"/>
      <fill>
        <patternFill patternType="none">
          <bgColor auto="1"/>
        </patternFill>
      </fill>
    </dxf>
    <dxf>
      <numFmt numFmtId="1" formatCode="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solid">
          <fgColor rgb="FFC0E6F5"/>
          <bgColor rgb="FF000000"/>
        </patternFill>
      </fill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medium">
          <color theme="1"/>
        </top>
        <bottom style="medium">
          <color theme="1"/>
        </bottom>
      </border>
    </dxf>
    <dxf>
      <fill>
        <patternFill patternType="none">
          <bgColor auto="1"/>
        </patternFill>
      </fill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numFmt numFmtId="2" formatCode="0.00"/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solid">
          <fgColor rgb="FFC197FF"/>
          <bgColor rgb="FF000000"/>
        </patternFill>
      </fill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medium">
          <color theme="1"/>
        </top>
        <bottom style="medium">
          <color theme="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solid">
          <fgColor rgb="FFC197FF"/>
          <bgColor rgb="FF000000"/>
        </patternFill>
      </fill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medium">
          <color theme="1"/>
        </top>
        <bottom style="medium">
          <color theme="1"/>
        </bottom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C197FF"/>
          <bgColor rgb="FF000000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numFmt numFmtId="2" formatCode="0.0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medium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top style="medium">
          <color theme="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</dxfs>
  <tableStyles count="0" defaultTableStyle="TableStyleMedium2" defaultPivotStyle="PivotStyleLight16"/>
  <colors>
    <mruColors>
      <color rgb="FFC197FF"/>
      <color rgb="FFFFFFE1"/>
      <color rgb="FFFFFF8F"/>
      <color rgb="FFFFFFAB"/>
      <color rgb="FFCACADC"/>
      <color rgb="FFD1D1D1"/>
      <color rgb="FFC5C5C5"/>
      <color rgb="FFFFD5D5"/>
      <color rgb="FFFFC9C9"/>
      <color rgb="FFCDF3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CF7BAE-47A7-4E9C-BCC2-58659D24872F}" name="Table5" displayName="Table5" ref="B2:O366" totalsRowShown="0" headerRowDxfId="1029" dataDxfId="1027" headerRowBorderDxfId="1028" tableBorderDxfId="1026">
  <autoFilter ref="B2:O366" xr:uid="{9F759BE7-2EF7-4D10-96D1-857C8F04779E}"/>
  <sortState xmlns:xlrd2="http://schemas.microsoft.com/office/spreadsheetml/2017/richdata2" ref="B3:O366">
    <sortCondition ref="L2:L366"/>
  </sortState>
  <tableColumns count="14">
    <tableColumn id="1" xr3:uid="{4E190422-0D99-417F-B204-592FA8C961C4}" name="#" dataDxfId="1025"/>
    <tableColumn id="8" xr3:uid="{6EDA56E3-DFA0-49D2-875E-D5B4520811CA}" name="Pos#" dataDxfId="1024"/>
    <tableColumn id="2" xr3:uid="{D58D5EF0-2AD1-4D77-A6CB-57195C76BE28}" name="Player" dataDxfId="1023"/>
    <tableColumn id="3" xr3:uid="{5453E03E-759C-4567-B23D-80CE3A7F3853}" name="Team" dataDxfId="1022"/>
    <tableColumn id="5" xr3:uid="{8A8A5D15-54C7-4EE7-967D-255B0497455D}" name="Pos." dataDxfId="1021"/>
    <tableColumn id="14" xr3:uid="{9B918FF0-3D24-49EA-BA0E-C30ABA2F47E0}" name="23 Pts" dataDxfId="1020"/>
    <tableColumn id="6" xr3:uid="{246353CF-F99C-4BE3-A1E2-1075811FD2A9}" name="24 Pts" dataDxfId="1019"/>
    <tableColumn id="7" xr3:uid="{54779340-8A5D-4FAD-BE7D-A5C33204D2D6}" name="25 Proj" dataDxfId="1018"/>
    <tableColumn id="4" xr3:uid="{B1ACC42C-018C-4365-B85D-70049F888B1C}" name="Avg" dataDxfId="1017">
      <calculatedColumnFormula>AVERAGE(Table5[[#This Row],[23 Pts]:[25 Proj]])</calculatedColumnFormula>
    </tableColumn>
    <tableColumn id="12" xr3:uid="{7333CCE5-7A07-4119-ABFB-62DF1A77CCD0}" name="Wkly Avg" dataDxfId="1016"/>
    <tableColumn id="13" xr3:uid="{A8B45EFC-29EF-41CB-9D33-3C99991D6FC3}" name="Owner" dataDxfId="1015"/>
    <tableColumn id="9" xr3:uid="{F70A5162-74B7-4E30-807A-AE383FA1438E}" name="Pick#" dataDxfId="1014"/>
    <tableColumn id="10" xr3:uid="{3896D43C-4651-4A4A-B6AF-CEC47335F501}" name="Round" dataDxfId="1013"/>
    <tableColumn id="11" xr3:uid="{D7EBF0A2-2D97-42D1-8FBF-663271F1958F}" name="Pick" dataDxfId="1012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18CA4D6-8B28-4B60-8F04-8C5F496C8F4C}" name="Table8" displayName="Table8" ref="R2:AC14" totalsRowShown="0" headerRowDxfId="1011" dataDxfId="1009" headerRowBorderDxfId="1010" tableBorderDxfId="1008" totalsRowBorderDxfId="1007">
  <autoFilter ref="R2:AC14" xr:uid="{B18CA4D6-8B28-4B60-8F04-8C5F496C8F4C}"/>
  <sortState xmlns:xlrd2="http://schemas.microsoft.com/office/spreadsheetml/2017/richdata2" ref="R3:AC14">
    <sortCondition descending="1" ref="AC2:AC14"/>
  </sortState>
  <tableColumns count="12">
    <tableColumn id="1" xr3:uid="{94F6EAB1-AB97-47F9-9816-16DC57F2CFE1}" name="#" dataDxfId="1006"/>
    <tableColumn id="2" xr3:uid="{E35E0D31-7B39-40B4-88AC-28079012F11B}" name="Pos#" dataDxfId="1005"/>
    <tableColumn id="3" xr3:uid="{48CE3AF7-48FD-47D3-9F8E-8E25A2CFBA4E}" name="Player" dataDxfId="1004"/>
    <tableColumn id="4" xr3:uid="{9ECC90AE-CD41-44C1-97E8-E36141FC4992}" name="Team" dataDxfId="1003"/>
    <tableColumn id="5" xr3:uid="{BB9C4F60-A652-407D-B0C5-976929EEFFD3}" name="Pos." dataDxfId="1002"/>
    <tableColumn id="12" xr3:uid="{8C882841-4C83-42C5-9323-7EF89BFC3542}" name="23 Pts" dataDxfId="1001"/>
    <tableColumn id="6" xr3:uid="{E0EB7BF2-C764-4992-8133-44B38802818B}" name="24 Pts" dataDxfId="1000"/>
    <tableColumn id="7" xr3:uid="{ED081603-95DB-4102-969D-69C64B4FC2CB}" name="25 Proj" dataDxfId="999"/>
    <tableColumn id="8" xr3:uid="{5E06C176-F5CA-43FE-A506-C2D073D8B220}" name="Avg" dataDxfId="998">
      <calculatedColumnFormula>AVERAGE(Table8[[#This Row],[23 Pts]:[25 Proj]])</calculatedColumnFormula>
    </tableColumn>
    <tableColumn id="11" xr3:uid="{4328DFC0-EFD8-43CC-B688-CB9A0EABA3B8}" name="Wkly Avg" dataDxfId="997">
      <calculatedColumnFormula>Table8[[#This Row],[Avg]]/17</calculatedColumnFormula>
    </tableColumn>
    <tableColumn id="9" xr3:uid="{8F5B477D-DBDF-4585-9FF4-4BABDE31E8D8}" name="Owner" dataDxfId="996"/>
    <tableColumn id="10" xr3:uid="{4368C163-16EF-4D08-A444-38D694779510}" name="24 Rank" dataDxfId="995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D5189B5-C7E0-4676-824D-645EBB3EA9B6}" name="Table9" displayName="Table9" ref="AD2:AD14" totalsRowShown="0" headerRowDxfId="994" dataDxfId="993">
  <autoFilter ref="AD2:AD14" xr:uid="{9D5189B5-C7E0-4676-824D-645EBB3EA9B6}"/>
  <tableColumns count="1">
    <tableColumn id="1" xr3:uid="{853AAF4A-EC83-40F4-8452-A73595D00F4F}" name="25 Pick" dataDxfId="992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DDBAB4-9573-431C-A615-657E83682B8C}" name="Table1" displayName="Table1" ref="B2:I52" totalsRowShown="0" headerRowDxfId="991" dataDxfId="990">
  <autoFilter ref="B2:I52" xr:uid="{FDF9BE09-06C5-48F9-8A36-D6B03DCC806B}"/>
  <sortState xmlns:xlrd2="http://schemas.microsoft.com/office/spreadsheetml/2017/richdata2" ref="B3:I52">
    <sortCondition sortBy="cellColor" ref="C2:C52" dxfId="989"/>
  </sortState>
  <tableColumns count="8">
    <tableColumn id="1" xr3:uid="{25913E4D-5C86-4880-8571-22C7F7D4F6B0}" name="#" dataDxfId="988"/>
    <tableColumn id="2" xr3:uid="{A5D29139-635B-49AD-9BEB-218E5A9E3375}" name="Player" dataDxfId="987"/>
    <tableColumn id="3" xr3:uid="{529DE2F8-8294-43A8-A495-77DF59B230D3}" name="Team" dataDxfId="986"/>
    <tableColumn id="8" xr3:uid="{8147DD0E-72A7-43CB-B07B-4C0719E5419C}" name="23 Pts" dataDxfId="985"/>
    <tableColumn id="4" xr3:uid="{140DFABB-937D-4158-825E-1AFAFDFD1E2A}" name="24 Pts" dataDxfId="984"/>
    <tableColumn id="5" xr3:uid="{725FFDCE-D3FA-492A-97D3-FAE3869A154B}" name="25 Proj" dataDxfId="983"/>
    <tableColumn id="6" xr3:uid="{260791B1-FC53-427A-9039-44960988BC72}" name="Avg" dataDxfId="982">
      <calculatedColumnFormula>AVERAGE(Table1[[#This Row],[23 Pts]:[25 Proj]])</calculatedColumnFormula>
    </tableColumn>
    <tableColumn id="7" xr3:uid="{9E190104-730E-49C8-92B9-AEDFEAF2EC4A}" name="Wkly Avg" dataDxfId="981">
      <calculatedColumnFormula>Table1[[#This Row],[Avg]]/17</calculatedColumnFormula>
    </tableColumn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46346D-13DE-47AF-A22E-B1B409D13BBA}" name="Table2" displayName="Table2" ref="L2:S102" totalsRowShown="0" headerRowDxfId="980" headerRowBorderDxfId="979" tableBorderDxfId="978" totalsRowBorderDxfId="977">
  <autoFilter ref="L2:S102" xr:uid="{595B6DAC-5108-4E8F-8D93-6FB9E2734F7A}"/>
  <sortState xmlns:xlrd2="http://schemas.microsoft.com/office/spreadsheetml/2017/richdata2" ref="L3:S102">
    <sortCondition sortBy="cellColor" ref="M2:M102" dxfId="976"/>
  </sortState>
  <tableColumns count="8">
    <tableColumn id="1" xr3:uid="{5D308019-CC69-4F85-95E7-199E4646B2F0}" name="#" dataDxfId="975"/>
    <tableColumn id="2" xr3:uid="{31A3149A-3330-4284-B747-94C61D7224C7}" name="Player" dataDxfId="974"/>
    <tableColumn id="3" xr3:uid="{13F60298-7300-403C-AFD3-AED936933FE5}" name="Team" dataDxfId="973"/>
    <tableColumn id="8" xr3:uid="{DC71E77E-4A58-4336-92AA-197A21C1EBD4}" name="23 Pts" dataDxfId="972"/>
    <tableColumn id="4" xr3:uid="{6ED889FE-2DF6-4D56-8B11-0FA363BAF0EB}" name="24 Pts" dataDxfId="971"/>
    <tableColumn id="5" xr3:uid="{69D921B9-CB2C-4B9E-B763-D8E0B5D39E71}" name="25 Proj" dataDxfId="970"/>
    <tableColumn id="6" xr3:uid="{18995F47-E3DE-4E38-AE90-BEC4AB5EC6BF}" name="Avg" dataDxfId="969">
      <calculatedColumnFormula>AVERAGE(Table2[[#This Row],[23 Pts]:[25 Proj]])</calculatedColumnFormula>
    </tableColumn>
    <tableColumn id="7" xr3:uid="{28144EAF-57C5-4DB7-A718-05124CC42C44}" name="Wkly Avg" dataDxfId="968">
      <calculatedColumnFormula>Table2[[#This Row],[Avg]]/17</calculatedColumnFormula>
    </tableColumn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21F80A-8CA9-4D9A-AF0D-A22016311AED}" name="Table3" displayName="Table3" ref="V2:AC102" totalsRowShown="0" headerRowDxfId="967" dataDxfId="965" headerRowBorderDxfId="966" tableBorderDxfId="964" totalsRowBorderDxfId="963">
  <autoFilter ref="V2:AC102" xr:uid="{D65C0FB2-9D92-40D3-A7EE-ED88954FEF33}"/>
  <sortState xmlns:xlrd2="http://schemas.microsoft.com/office/spreadsheetml/2017/richdata2" ref="V3:AC102">
    <sortCondition sortBy="cellColor" ref="W2:W102" dxfId="962"/>
  </sortState>
  <tableColumns count="8">
    <tableColumn id="1" xr3:uid="{D90E5D29-D7A8-4D49-A066-0898EC473BCB}" name="#" dataDxfId="961"/>
    <tableColumn id="2" xr3:uid="{4AD2B5E6-9677-432E-AFAB-C132B2695F33}" name="Player" dataDxfId="960"/>
    <tableColumn id="3" xr3:uid="{64766DB1-2985-4ABC-9E40-0CB6DB026FE5}" name="Team" dataDxfId="959"/>
    <tableColumn id="8" xr3:uid="{CE03AB69-3F34-4120-9B58-C339F072228B}" name="23 Pts" dataDxfId="958"/>
    <tableColumn id="4" xr3:uid="{D0667205-E221-4E5D-9DB2-A0B72D1871F2}" name="24 Pts" dataDxfId="957"/>
    <tableColumn id="5" xr3:uid="{C483BFF0-B314-476D-BDAD-39FE7C0267A7}" name="25 Proj" dataDxfId="956"/>
    <tableColumn id="6" xr3:uid="{D8222214-4CA7-445A-BDBA-C2F0B697D32D}" name="Avg" dataDxfId="955">
      <calculatedColumnFormula>AVERAGE(Table3[[#This Row],[23 Pts]:[25 Proj]])</calculatedColumnFormula>
    </tableColumn>
    <tableColumn id="7" xr3:uid="{AC079404-8BA8-4D15-B498-B1C6608DC5CE}" name="Wkly Avg" dataDxfId="954">
      <calculatedColumnFormula>Table3[[#This Row],[Avg]]/17</calculatedColumnFormula>
    </tableColumn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21244A-622B-4855-A2FD-8D70A7B18D06}" name="Table4" displayName="Table4" ref="AF2:AM52" totalsRowShown="0" headerRowDxfId="953" dataDxfId="951" headerRowBorderDxfId="952" tableBorderDxfId="950" totalsRowBorderDxfId="949">
  <autoFilter ref="AF2:AM52" xr:uid="{62E006E2-CC00-4C37-9243-747604294BEC}"/>
  <sortState xmlns:xlrd2="http://schemas.microsoft.com/office/spreadsheetml/2017/richdata2" ref="AF3:AM52">
    <sortCondition sortBy="cellColor" ref="AG2:AG52" dxfId="948"/>
  </sortState>
  <tableColumns count="8">
    <tableColumn id="1" xr3:uid="{FB73DF77-7B57-448D-89DA-FCCBE7D07491}" name="#" dataDxfId="947"/>
    <tableColumn id="2" xr3:uid="{C2FA588B-0808-4996-BFC3-418D4BC96910}" name="Player" dataDxfId="946"/>
    <tableColumn id="3" xr3:uid="{7BA17168-317D-4DC4-A09A-C26C449EB997}" name="Team" dataDxfId="945"/>
    <tableColumn id="8" xr3:uid="{8F9FB6FB-43D1-4C04-AD2E-CDCD6A87D02B}" name="23 Pts" dataDxfId="944"/>
    <tableColumn id="4" xr3:uid="{FD48F99A-9FF7-4B23-9B12-C3F10950B3B4}" name="24 Pts" dataDxfId="943"/>
    <tableColumn id="5" xr3:uid="{6D6D4610-C59E-4878-9C63-301B4A3E120F}" name="25 Proj" dataDxfId="942"/>
    <tableColumn id="6" xr3:uid="{857CF03C-9FF2-4F81-A7DB-375C72C95FE2}" name="Avg" dataDxfId="941">
      <calculatedColumnFormula>AVERAGE(Table4[[#This Row],[23 Pts]:[25 Proj]])</calculatedColumnFormula>
    </tableColumn>
    <tableColumn id="7" xr3:uid="{0EED9994-1CB0-44CC-9585-F34976039671}" name="Wkly Avg" dataDxfId="940">
      <calculatedColumnFormula>Table4[[#This Row],[Avg]]/17</calculatedColumnFormula>
    </tableColumn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F63A603-CE8B-43D4-BBDA-424FF9D6EF4D}" name="Table6" displayName="Table6" ref="AP2:AW34" totalsRowShown="0" headerRowDxfId="939" dataDxfId="937" headerRowBorderDxfId="938" tableBorderDxfId="936" totalsRowBorderDxfId="935">
  <autoFilter ref="AP2:AW34" xr:uid="{41A88DEC-4D4C-4EB2-B0F1-BCC7B4EBF3F5}"/>
  <sortState xmlns:xlrd2="http://schemas.microsoft.com/office/spreadsheetml/2017/richdata2" ref="AP3:AW34">
    <sortCondition sortBy="cellColor" ref="AQ2:AQ34" dxfId="934"/>
  </sortState>
  <tableColumns count="8">
    <tableColumn id="1" xr3:uid="{A1B33F5F-17F8-492C-9F5B-41B888F05BD6}" name="#" dataDxfId="933"/>
    <tableColumn id="2" xr3:uid="{7DD0BC26-FD2F-4FEC-9150-73B9EBF0486C}" name="Player" dataDxfId="932"/>
    <tableColumn id="3" xr3:uid="{340FAD10-F412-433C-A555-6FCD8918934D}" name="Team" dataDxfId="931"/>
    <tableColumn id="8" xr3:uid="{D5901EE2-BA00-497A-8604-3B5618418D7A}" name="23 Pts" dataDxfId="930"/>
    <tableColumn id="4" xr3:uid="{99CD4637-4E88-4DEE-AAD1-1B9B951554D3}" name="24 Pts" dataDxfId="929"/>
    <tableColumn id="5" xr3:uid="{EF35828C-798B-4FE5-A9C9-C71B13DD2C8C}" name="25 Proj" dataDxfId="928"/>
    <tableColumn id="6" xr3:uid="{45778E35-5E56-4AF5-A188-7785EB25380C}" name="Avg" dataDxfId="927">
      <calculatedColumnFormula>AVERAGE(Table6[[#This Row],[23 Pts]:[25 Proj]])</calculatedColumnFormula>
    </tableColumn>
    <tableColumn id="7" xr3:uid="{8F81F9A4-508C-4556-B01C-0E70CE7534CD}" name="Wkly Avg" dataDxfId="926">
      <calculatedColumnFormula>Table6[[#This Row],[Avg]]/17</calculatedColumnFormula>
    </tableColumn>
  </tableColumns>
  <tableStyleInfo name="TableStyleMedium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B171BD5-51FF-4073-80F2-FCC74E1038DE}" name="Table7" displayName="Table7" ref="AP37:AW69" totalsRowShown="0" headerRowDxfId="925" dataDxfId="923" headerRowBorderDxfId="924" tableBorderDxfId="922" totalsRowBorderDxfId="921">
  <autoFilter ref="AP37:AW69" xr:uid="{02BAF6B7-BECE-4053-914F-4F9037E3CFA5}"/>
  <sortState xmlns:xlrd2="http://schemas.microsoft.com/office/spreadsheetml/2017/richdata2" ref="AP38:AW69">
    <sortCondition sortBy="cellColor" ref="AQ37:AQ69" dxfId="920"/>
  </sortState>
  <tableColumns count="8">
    <tableColumn id="1" xr3:uid="{1F874BC2-AB91-439B-90E7-06C0E782DF07}" name="#" dataDxfId="919"/>
    <tableColumn id="2" xr3:uid="{22C47F40-2473-4195-BA1E-092E625D054F}" name="Player" dataDxfId="918"/>
    <tableColumn id="3" xr3:uid="{9CD4A112-DF68-4D51-BB5B-A1EA5A2AD148}" name="Team" dataDxfId="917"/>
    <tableColumn id="8" xr3:uid="{47721E7F-1847-4CF4-8F46-19094CF3C42F}" name="23 Pts" dataDxfId="916"/>
    <tableColumn id="4" xr3:uid="{0D327E97-5896-4721-8BD3-729C343637E9}" name="24 Pts" dataDxfId="915"/>
    <tableColumn id="5" xr3:uid="{C60081BC-F6F7-4907-8474-C486401AAED8}" name="25 Proj" dataDxfId="914"/>
    <tableColumn id="6" xr3:uid="{C113A1FE-11F5-4F8B-BCA1-E2127FCBA88E}" name="Avg" dataDxfId="913">
      <calculatedColumnFormula>AVERAGE(Table7[[#This Row],[23 Pts]:[25 Proj]])</calculatedColumnFormula>
    </tableColumn>
    <tableColumn id="7" xr3:uid="{7240B29A-956D-4A88-8C7B-35BDB5B87C3A}" name="Wkly Avg" dataDxfId="912">
      <calculatedColumnFormula>Table7[[#This Row],[Avg]]/17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86522-DB5C-4E75-865F-983540408055}">
  <dimension ref="C5:BE58"/>
  <sheetViews>
    <sheetView topLeftCell="B4" zoomScaleNormal="100" workbookViewId="0">
      <selection activeCell="BJ20" sqref="BJ20"/>
    </sheetView>
  </sheetViews>
  <sheetFormatPr defaultRowHeight="14.5" x14ac:dyDescent="0.35"/>
  <cols>
    <col min="1" max="2" width="8.7265625" style="8"/>
    <col min="3" max="3" width="3.81640625" style="8" bestFit="1" customWidth="1"/>
    <col min="4" max="4" width="4.81640625" style="8" bestFit="1" customWidth="1"/>
    <col min="5" max="5" width="13.08984375" style="8" bestFit="1" customWidth="1"/>
    <col min="6" max="6" width="4.6328125" style="8" bestFit="1" customWidth="1"/>
    <col min="7" max="7" width="4.81640625" style="8" bestFit="1" customWidth="1"/>
    <col min="8" max="11" width="4.81640625" style="8" hidden="1" customWidth="1"/>
    <col min="12" max="12" width="5.36328125" style="8" hidden="1" customWidth="1"/>
    <col min="13" max="13" width="17.1796875" style="8" hidden="1" customWidth="1"/>
    <col min="14" max="14" width="3.81640625" style="8" hidden="1" customWidth="1"/>
    <col min="15" max="15" width="2.81640625" style="8" hidden="1" customWidth="1"/>
    <col min="16" max="16" width="2.6328125" style="8" customWidth="1"/>
    <col min="17" max="17" width="3.81640625" style="8" bestFit="1" customWidth="1"/>
    <col min="18" max="18" width="4.81640625" style="8" bestFit="1" customWidth="1"/>
    <col min="19" max="19" width="15.08984375" style="8" bestFit="1" customWidth="1"/>
    <col min="20" max="20" width="4.6328125" style="8" bestFit="1" customWidth="1"/>
    <col min="21" max="21" width="4.81640625" style="8" bestFit="1" customWidth="1"/>
    <col min="22" max="25" width="4.81640625" style="8" hidden="1" customWidth="1"/>
    <col min="26" max="26" width="5.36328125" style="8" hidden="1" customWidth="1"/>
    <col min="27" max="27" width="14.453125" style="8" hidden="1" customWidth="1"/>
    <col min="28" max="28" width="3.81640625" style="8" hidden="1" customWidth="1"/>
    <col min="29" max="29" width="2.81640625" style="8" hidden="1" customWidth="1"/>
    <col min="30" max="30" width="2.6328125" style="8" customWidth="1"/>
    <col min="31" max="31" width="3.81640625" style="8" bestFit="1" customWidth="1"/>
    <col min="32" max="32" width="4.81640625" style="8" bestFit="1" customWidth="1"/>
    <col min="33" max="33" width="12.26953125" style="8" bestFit="1" customWidth="1"/>
    <col min="34" max="34" width="4.6328125" style="8" bestFit="1" customWidth="1"/>
    <col min="35" max="35" width="4.81640625" style="8" bestFit="1" customWidth="1"/>
    <col min="36" max="39" width="4.81640625" style="8" hidden="1" customWidth="1"/>
    <col min="40" max="40" width="5.36328125" style="8" hidden="1" customWidth="1"/>
    <col min="41" max="41" width="19" style="8" hidden="1" customWidth="1"/>
    <col min="42" max="42" width="3.81640625" style="8" hidden="1" customWidth="1"/>
    <col min="43" max="43" width="2.81640625" style="8" hidden="1" customWidth="1"/>
    <col min="44" max="44" width="2.6328125" style="8" customWidth="1"/>
    <col min="45" max="45" width="3.81640625" style="8" bestFit="1" customWidth="1"/>
    <col min="46" max="46" width="4.81640625" style="8" bestFit="1" customWidth="1"/>
    <col min="47" max="47" width="12.1796875" style="8" bestFit="1" customWidth="1"/>
    <col min="48" max="48" width="4.6328125" style="8" bestFit="1" customWidth="1"/>
    <col min="49" max="49" width="4.81640625" style="8" bestFit="1" customWidth="1"/>
    <col min="50" max="53" width="4.81640625" style="8" hidden="1" customWidth="1"/>
    <col min="54" max="54" width="5.36328125" style="8" hidden="1" customWidth="1"/>
    <col min="55" max="55" width="12.453125" style="8" hidden="1" customWidth="1"/>
    <col min="56" max="56" width="3.81640625" style="8" hidden="1" customWidth="1"/>
    <col min="57" max="57" width="2.81640625" style="8" hidden="1" customWidth="1"/>
    <col min="58" max="59" width="8.7265625" style="8"/>
    <col min="60" max="60" width="1.36328125" style="8" bestFit="1" customWidth="1"/>
    <col min="61" max="16384" width="8.7265625" style="8"/>
  </cols>
  <sheetData>
    <row r="5" spans="3:57" ht="16" x14ac:dyDescent="0.4">
      <c r="C5" s="51" t="s">
        <v>150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Q5" s="51" t="s">
        <v>429</v>
      </c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E5" s="52" t="s">
        <v>428</v>
      </c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S5" s="51" t="s">
        <v>147</v>
      </c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</row>
    <row r="6" spans="3:57" x14ac:dyDescent="0.35">
      <c r="C6" s="5">
        <v>1</v>
      </c>
      <c r="D6" s="5">
        <v>1</v>
      </c>
      <c r="E6" s="5" t="s">
        <v>54</v>
      </c>
      <c r="F6" s="4" t="s">
        <v>16</v>
      </c>
      <c r="G6" s="4" t="s">
        <v>24</v>
      </c>
      <c r="H6" s="6">
        <v>242.1</v>
      </c>
      <c r="I6" s="6">
        <v>362.9</v>
      </c>
      <c r="J6" s="6">
        <v>296.3</v>
      </c>
      <c r="K6" s="6">
        <f>AVERAGE(Table5[[#This Row],[23 Pts]:[25 Proj]])</f>
        <v>208.53333333333333</v>
      </c>
      <c r="L6" s="49">
        <f>Table5[[#This Row],[Avg]]/17</f>
        <v>12.266666666666666</v>
      </c>
      <c r="M6" s="4" t="s">
        <v>150</v>
      </c>
      <c r="N6" s="5">
        <v>1</v>
      </c>
      <c r="O6" s="5">
        <v>1</v>
      </c>
      <c r="Q6" s="5">
        <v>1</v>
      </c>
      <c r="R6" s="5">
        <v>2</v>
      </c>
      <c r="S6" s="5" t="s">
        <v>76</v>
      </c>
      <c r="T6" s="4" t="s">
        <v>51</v>
      </c>
      <c r="U6" s="4" t="s">
        <v>35</v>
      </c>
      <c r="V6" s="6">
        <v>202.2</v>
      </c>
      <c r="W6" s="6">
        <v>317.48</v>
      </c>
      <c r="X6" s="6">
        <v>289.39999999999998</v>
      </c>
      <c r="Y6" s="6">
        <f>AVERAGE(Table5[[#This Row],[23 Pts]:[25 Proj]])</f>
        <v>208.53333333333333</v>
      </c>
      <c r="Z6" s="49">
        <f>Table5[[#This Row],[Avg]]/17</f>
        <v>12.266666666666666</v>
      </c>
      <c r="AA6" s="4" t="s">
        <v>429</v>
      </c>
      <c r="AB6" s="5">
        <v>2</v>
      </c>
      <c r="AC6" s="5">
        <v>1</v>
      </c>
      <c r="AE6" s="5">
        <v>1</v>
      </c>
      <c r="AF6" s="5">
        <v>3</v>
      </c>
      <c r="AG6" s="5" t="s">
        <v>49</v>
      </c>
      <c r="AH6" s="4" t="s">
        <v>23</v>
      </c>
      <c r="AI6" s="4" t="s">
        <v>24</v>
      </c>
      <c r="AJ6" s="6">
        <v>246.66</v>
      </c>
      <c r="AK6" s="6">
        <v>336.4</v>
      </c>
      <c r="AL6" s="6">
        <v>265.5</v>
      </c>
      <c r="AM6" s="6">
        <f>AVERAGE(Table5[[#This Row],[23 Pts]:[25 Proj]])</f>
        <v>208.53333333333333</v>
      </c>
      <c r="AN6" s="49">
        <f>Table5[[#This Row],[Avg]]/17</f>
        <v>12.266666666666666</v>
      </c>
      <c r="AO6" s="4" t="s">
        <v>428</v>
      </c>
      <c r="AP6" s="5">
        <v>3</v>
      </c>
      <c r="AQ6" s="5">
        <v>1</v>
      </c>
      <c r="AS6" s="5">
        <v>1</v>
      </c>
      <c r="AT6" s="5">
        <v>4</v>
      </c>
      <c r="AU6" s="5" t="s">
        <v>336</v>
      </c>
      <c r="AV6" s="4" t="s">
        <v>48</v>
      </c>
      <c r="AW6" s="4" t="s">
        <v>35</v>
      </c>
      <c r="AX6" s="6">
        <v>260.39999999999998</v>
      </c>
      <c r="AY6" s="6">
        <v>210.6</v>
      </c>
      <c r="AZ6" s="6">
        <v>273.10000000000002</v>
      </c>
      <c r="BA6" s="6">
        <f>AVERAGE(Table5[[#This Row],[23 Pts]:[25 Proj]])</f>
        <v>208.53333333333333</v>
      </c>
      <c r="BB6" s="49">
        <f>Table5[[#This Row],[Avg]]/17</f>
        <v>12.266666666666666</v>
      </c>
      <c r="BC6" s="4" t="s">
        <v>147</v>
      </c>
      <c r="BD6" s="5">
        <v>4</v>
      </c>
      <c r="BE6" s="5">
        <v>1</v>
      </c>
    </row>
    <row r="7" spans="3:57" x14ac:dyDescent="0.35">
      <c r="C7" s="5">
        <v>2</v>
      </c>
      <c r="D7" s="5">
        <v>24</v>
      </c>
      <c r="E7" s="5" t="s">
        <v>15</v>
      </c>
      <c r="F7" s="4" t="s">
        <v>16</v>
      </c>
      <c r="G7" s="4" t="s">
        <v>424</v>
      </c>
      <c r="H7" s="6">
        <v>239.3</v>
      </c>
      <c r="I7" s="6">
        <v>174.6</v>
      </c>
      <c r="J7" s="6">
        <v>182.2</v>
      </c>
      <c r="K7" s="6">
        <f>AVERAGE(Table5[[#This Row],[23 Pts]:[25 Proj]])</f>
        <v>302.3</v>
      </c>
      <c r="L7" s="49">
        <f>Table5[[#This Row],[Avg]]/17</f>
        <v>17.78235294117647</v>
      </c>
      <c r="M7" s="4" t="s">
        <v>150</v>
      </c>
      <c r="N7" s="5">
        <v>24</v>
      </c>
      <c r="O7" s="5">
        <v>2</v>
      </c>
      <c r="Q7" s="5">
        <v>2</v>
      </c>
      <c r="R7" s="5">
        <v>23</v>
      </c>
      <c r="S7" s="5" t="s">
        <v>58</v>
      </c>
      <c r="T7" s="4" t="s">
        <v>59</v>
      </c>
      <c r="U7" s="4" t="s">
        <v>10</v>
      </c>
      <c r="V7" s="6" t="s">
        <v>60</v>
      </c>
      <c r="W7" s="6">
        <v>364.82</v>
      </c>
      <c r="X7" s="6">
        <v>350.52</v>
      </c>
      <c r="Y7" s="6">
        <f>AVERAGE(Table5[[#This Row],[23 Pts]:[25 Proj]])</f>
        <v>302.3</v>
      </c>
      <c r="Z7" s="49">
        <f>Table5[[#This Row],[Avg]]/17</f>
        <v>17.78235294117647</v>
      </c>
      <c r="AA7" s="4" t="s">
        <v>429</v>
      </c>
      <c r="AB7" s="5">
        <v>23</v>
      </c>
      <c r="AC7" s="5">
        <v>2</v>
      </c>
      <c r="AE7" s="5">
        <v>2</v>
      </c>
      <c r="AF7" s="5">
        <v>22</v>
      </c>
      <c r="AG7" s="5" t="s">
        <v>341</v>
      </c>
      <c r="AH7" s="4" t="s">
        <v>59</v>
      </c>
      <c r="AI7" s="4" t="s">
        <v>35</v>
      </c>
      <c r="AJ7" s="6">
        <v>209.2</v>
      </c>
      <c r="AK7" s="6">
        <v>267.8</v>
      </c>
      <c r="AL7" s="6">
        <v>239.6</v>
      </c>
      <c r="AM7" s="6">
        <f>AVERAGE(Table5[[#This Row],[23 Pts]:[25 Proj]])</f>
        <v>302.3</v>
      </c>
      <c r="AN7" s="49">
        <f>Table5[[#This Row],[Avg]]/17</f>
        <v>17.78235294117647</v>
      </c>
      <c r="AO7" s="4" t="s">
        <v>428</v>
      </c>
      <c r="AP7" s="5">
        <v>22</v>
      </c>
      <c r="AQ7" s="5">
        <v>2</v>
      </c>
      <c r="AS7" s="5">
        <v>2</v>
      </c>
      <c r="AT7" s="5">
        <v>21</v>
      </c>
      <c r="AU7" s="5" t="s">
        <v>33</v>
      </c>
      <c r="AV7" s="4" t="s">
        <v>12</v>
      </c>
      <c r="AW7" s="4" t="s">
        <v>424</v>
      </c>
      <c r="AX7" s="6">
        <v>203.2</v>
      </c>
      <c r="AY7" s="6">
        <v>236.6</v>
      </c>
      <c r="AZ7" s="6">
        <v>207</v>
      </c>
      <c r="BA7" s="6">
        <f>AVERAGE(Table5[[#This Row],[23 Pts]:[25 Proj]])</f>
        <v>302.3</v>
      </c>
      <c r="BB7" s="49">
        <f>Table5[[#This Row],[Avg]]/17</f>
        <v>17.78235294117647</v>
      </c>
      <c r="BC7" s="4" t="s">
        <v>147</v>
      </c>
      <c r="BD7" s="5">
        <v>21</v>
      </c>
      <c r="BE7" s="5">
        <v>2</v>
      </c>
    </row>
    <row r="8" spans="3:57" x14ac:dyDescent="0.35">
      <c r="C8" s="5">
        <v>3</v>
      </c>
      <c r="D8" s="5">
        <v>25</v>
      </c>
      <c r="E8" s="5" t="s">
        <v>17</v>
      </c>
      <c r="F8" s="4" t="s">
        <v>18</v>
      </c>
      <c r="G8" s="4" t="s">
        <v>10</v>
      </c>
      <c r="H8" s="6">
        <v>371.82</v>
      </c>
      <c r="I8" s="6">
        <v>320.12</v>
      </c>
      <c r="J8" s="6">
        <v>341.52</v>
      </c>
      <c r="K8" s="6">
        <f>AVERAGE(Table5[[#This Row],[23 Pts]:[25 Proj]])</f>
        <v>145.79999999999998</v>
      </c>
      <c r="L8" s="49">
        <f>Table5[[#This Row],[Avg]]/17</f>
        <v>8.5764705882352938</v>
      </c>
      <c r="M8" s="4" t="s">
        <v>150</v>
      </c>
      <c r="N8" s="5">
        <v>25</v>
      </c>
      <c r="O8" s="5">
        <v>3</v>
      </c>
      <c r="Q8" s="5">
        <v>3</v>
      </c>
      <c r="R8" s="5">
        <v>26</v>
      </c>
      <c r="S8" s="5" t="s">
        <v>343</v>
      </c>
      <c r="T8" s="4" t="s">
        <v>42</v>
      </c>
      <c r="U8" s="4" t="s">
        <v>35</v>
      </c>
      <c r="V8" s="6">
        <v>282.5</v>
      </c>
      <c r="W8" s="6">
        <v>240.4</v>
      </c>
      <c r="X8" s="6">
        <v>231.3</v>
      </c>
      <c r="Y8" s="6">
        <f>AVERAGE(Table5[[#This Row],[23 Pts]:[25 Proj]])</f>
        <v>145.79999999999998</v>
      </c>
      <c r="Z8" s="49">
        <f>Table5[[#This Row],[Avg]]/17</f>
        <v>8.5764705882352938</v>
      </c>
      <c r="AA8" s="4" t="s">
        <v>429</v>
      </c>
      <c r="AB8" s="5">
        <v>26</v>
      </c>
      <c r="AC8" s="5">
        <v>3</v>
      </c>
      <c r="AE8" s="5">
        <v>3</v>
      </c>
      <c r="AF8" s="5">
        <v>27</v>
      </c>
      <c r="AG8" s="5" t="s">
        <v>82</v>
      </c>
      <c r="AH8" s="4" t="s">
        <v>20</v>
      </c>
      <c r="AI8" s="4" t="s">
        <v>35</v>
      </c>
      <c r="AJ8" s="6">
        <v>213.2</v>
      </c>
      <c r="AK8" s="6">
        <v>251.9</v>
      </c>
      <c r="AL8" s="6">
        <v>223.9</v>
      </c>
      <c r="AM8" s="6">
        <f>AVERAGE(Table5[[#This Row],[23 Pts]:[25 Proj]])</f>
        <v>145.79999999999998</v>
      </c>
      <c r="AN8" s="49">
        <f>Table5[[#This Row],[Avg]]/17</f>
        <v>8.5764705882352938</v>
      </c>
      <c r="AO8" s="4" t="s">
        <v>428</v>
      </c>
      <c r="AP8" s="5">
        <v>27</v>
      </c>
      <c r="AQ8" s="5">
        <v>3</v>
      </c>
      <c r="AS8" s="5">
        <v>3</v>
      </c>
      <c r="AT8" s="5">
        <v>28</v>
      </c>
      <c r="AU8" s="5" t="s">
        <v>69</v>
      </c>
      <c r="AV8" s="4" t="s">
        <v>9</v>
      </c>
      <c r="AW8" s="4" t="s">
        <v>24</v>
      </c>
      <c r="AX8" s="6">
        <v>232.7</v>
      </c>
      <c r="AY8" s="6">
        <v>266.7</v>
      </c>
      <c r="AZ8" s="6">
        <v>225.1</v>
      </c>
      <c r="BA8" s="6">
        <f>AVERAGE(Table5[[#This Row],[23 Pts]:[25 Proj]])</f>
        <v>145.79999999999998</v>
      </c>
      <c r="BB8" s="49">
        <f>Table5[[#This Row],[Avg]]/17</f>
        <v>8.5764705882352938</v>
      </c>
      <c r="BC8" s="4" t="s">
        <v>147</v>
      </c>
      <c r="BD8" s="5">
        <v>28</v>
      </c>
      <c r="BE8" s="5">
        <v>3</v>
      </c>
    </row>
    <row r="9" spans="3:57" x14ac:dyDescent="0.35">
      <c r="C9" s="5">
        <v>4</v>
      </c>
      <c r="D9" s="5">
        <v>48</v>
      </c>
      <c r="E9" s="5" t="s">
        <v>359</v>
      </c>
      <c r="F9" s="4" t="s">
        <v>23</v>
      </c>
      <c r="G9" s="4" t="s">
        <v>35</v>
      </c>
      <c r="H9" s="6">
        <v>206.4</v>
      </c>
      <c r="I9" s="6">
        <v>209.5</v>
      </c>
      <c r="J9" s="6">
        <v>194.2</v>
      </c>
      <c r="K9" s="6">
        <f>AVERAGE(Table5[[#This Row],[23 Pts]:[25 Proj]])</f>
        <v>193.73333333333332</v>
      </c>
      <c r="L9" s="49">
        <f>Table5[[#This Row],[Avg]]/17</f>
        <v>11.396078431372548</v>
      </c>
      <c r="M9" s="4" t="s">
        <v>150</v>
      </c>
      <c r="N9" s="5">
        <v>48</v>
      </c>
      <c r="O9" s="5">
        <v>4</v>
      </c>
      <c r="Q9" s="5">
        <v>4</v>
      </c>
      <c r="R9" s="5">
        <v>47</v>
      </c>
      <c r="S9" s="5" t="s">
        <v>179</v>
      </c>
      <c r="T9" s="4" t="s">
        <v>94</v>
      </c>
      <c r="U9" s="4" t="s">
        <v>24</v>
      </c>
      <c r="V9" s="6" t="s">
        <v>60</v>
      </c>
      <c r="W9" s="6" t="s">
        <v>60</v>
      </c>
      <c r="X9" s="6">
        <v>185.2</v>
      </c>
      <c r="Y9" s="6">
        <f>AVERAGE(Table5[[#This Row],[23 Pts]:[25 Proj]])</f>
        <v>193.73333333333332</v>
      </c>
      <c r="Z9" s="49">
        <f>Table5[[#This Row],[Avg]]/17</f>
        <v>11.396078431372548</v>
      </c>
      <c r="AA9" s="4" t="s">
        <v>429</v>
      </c>
      <c r="AB9" s="5">
        <v>47</v>
      </c>
      <c r="AC9" s="5">
        <v>4</v>
      </c>
      <c r="AE9" s="5">
        <v>4</v>
      </c>
      <c r="AF9" s="5">
        <v>46</v>
      </c>
      <c r="AG9" s="5" t="s">
        <v>348</v>
      </c>
      <c r="AH9" s="4" t="s">
        <v>52</v>
      </c>
      <c r="AI9" s="4" t="s">
        <v>35</v>
      </c>
      <c r="AJ9" s="6">
        <v>225.4</v>
      </c>
      <c r="AK9" s="6">
        <v>191.2</v>
      </c>
      <c r="AL9" s="6">
        <v>209</v>
      </c>
      <c r="AM9" s="6">
        <f>AVERAGE(Table5[[#This Row],[23 Pts]:[25 Proj]])</f>
        <v>193.73333333333332</v>
      </c>
      <c r="AN9" s="49">
        <f>Table5[[#This Row],[Avg]]/17</f>
        <v>11.396078431372548</v>
      </c>
      <c r="AO9" s="4" t="s">
        <v>428</v>
      </c>
      <c r="AP9" s="5">
        <v>46</v>
      </c>
      <c r="AQ9" s="5">
        <v>4</v>
      </c>
      <c r="AS9" s="5">
        <v>4</v>
      </c>
      <c r="AT9" s="5">
        <v>45</v>
      </c>
      <c r="AU9" s="5" t="s">
        <v>98</v>
      </c>
      <c r="AV9" s="4" t="s">
        <v>44</v>
      </c>
      <c r="AW9" s="4" t="s">
        <v>10</v>
      </c>
      <c r="AX9" s="6">
        <v>153.16</v>
      </c>
      <c r="AY9" s="6">
        <v>381.82</v>
      </c>
      <c r="AZ9" s="6">
        <v>325.93</v>
      </c>
      <c r="BA9" s="6">
        <f>AVERAGE(Table5[[#This Row],[23 Pts]:[25 Proj]])</f>
        <v>193.73333333333332</v>
      </c>
      <c r="BB9" s="49">
        <f>Table5[[#This Row],[Avg]]/17</f>
        <v>11.396078431372548</v>
      </c>
      <c r="BC9" s="4" t="s">
        <v>147</v>
      </c>
      <c r="BD9" s="5">
        <v>45</v>
      </c>
      <c r="BE9" s="5">
        <v>4</v>
      </c>
    </row>
    <row r="10" spans="3:57" x14ac:dyDescent="0.35">
      <c r="C10" s="5">
        <v>5</v>
      </c>
      <c r="D10" s="5">
        <v>49</v>
      </c>
      <c r="E10" s="5" t="s">
        <v>86</v>
      </c>
      <c r="F10" s="4" t="s">
        <v>16</v>
      </c>
      <c r="G10" s="4" t="s">
        <v>24</v>
      </c>
      <c r="H10" s="6">
        <v>207.2</v>
      </c>
      <c r="I10" s="6">
        <v>221.72</v>
      </c>
      <c r="J10" s="6">
        <v>178</v>
      </c>
      <c r="K10" s="6">
        <f>AVERAGE(Table5[[#This Row],[23 Pts]:[25 Proj]])</f>
        <v>156.06666666666669</v>
      </c>
      <c r="L10" s="49">
        <f>Table5[[#This Row],[Avg]]/17</f>
        <v>9.1803921568627462</v>
      </c>
      <c r="M10" s="4" t="s">
        <v>150</v>
      </c>
      <c r="N10" s="5">
        <v>49</v>
      </c>
      <c r="O10" s="5">
        <v>5</v>
      </c>
      <c r="Q10" s="5">
        <v>5</v>
      </c>
      <c r="R10" s="5">
        <v>50</v>
      </c>
      <c r="S10" s="5" t="s">
        <v>183</v>
      </c>
      <c r="T10" s="4" t="s">
        <v>52</v>
      </c>
      <c r="U10" s="4" t="s">
        <v>24</v>
      </c>
      <c r="V10" s="6" t="s">
        <v>60</v>
      </c>
      <c r="W10" s="6" t="s">
        <v>60</v>
      </c>
      <c r="X10" s="6">
        <v>167.2</v>
      </c>
      <c r="Y10" s="6">
        <f>AVERAGE(Table5[[#This Row],[23 Pts]:[25 Proj]])</f>
        <v>156.06666666666669</v>
      </c>
      <c r="Z10" s="49">
        <f>Table5[[#This Row],[Avg]]/17</f>
        <v>9.1803921568627462</v>
      </c>
      <c r="AA10" s="4" t="s">
        <v>429</v>
      </c>
      <c r="AB10" s="5">
        <v>50</v>
      </c>
      <c r="AC10" s="5">
        <v>5</v>
      </c>
      <c r="AE10" s="5">
        <v>5</v>
      </c>
      <c r="AF10" s="5">
        <v>51</v>
      </c>
      <c r="AG10" s="5" t="s">
        <v>36</v>
      </c>
      <c r="AH10" s="4" t="s">
        <v>22</v>
      </c>
      <c r="AI10" s="4" t="s">
        <v>10</v>
      </c>
      <c r="AJ10" s="6">
        <v>294.22000000000003</v>
      </c>
      <c r="AK10" s="6">
        <v>294.02</v>
      </c>
      <c r="AL10" s="6">
        <v>318.66000000000003</v>
      </c>
      <c r="AM10" s="6">
        <f>AVERAGE(Table5[[#This Row],[23 Pts]:[25 Proj]])</f>
        <v>156.06666666666669</v>
      </c>
      <c r="AN10" s="49">
        <f>Table5[[#This Row],[Avg]]/17</f>
        <v>9.1803921568627462</v>
      </c>
      <c r="AO10" s="4" t="s">
        <v>428</v>
      </c>
      <c r="AP10" s="5">
        <v>51</v>
      </c>
      <c r="AQ10" s="5">
        <v>5</v>
      </c>
      <c r="AS10" s="5">
        <v>5</v>
      </c>
      <c r="AT10" s="5">
        <v>52</v>
      </c>
      <c r="AU10" s="5" t="s">
        <v>105</v>
      </c>
      <c r="AV10" s="4" t="s">
        <v>16</v>
      </c>
      <c r="AW10" s="4" t="s">
        <v>35</v>
      </c>
      <c r="AX10" s="6">
        <v>80.3</v>
      </c>
      <c r="AY10" s="6">
        <v>212.2</v>
      </c>
      <c r="AZ10" s="6">
        <v>200.4</v>
      </c>
      <c r="BA10" s="6">
        <f>AVERAGE(Table5[[#This Row],[23 Pts]:[25 Proj]])</f>
        <v>156.06666666666669</v>
      </c>
      <c r="BB10" s="49">
        <f>Table5[[#This Row],[Avg]]/17</f>
        <v>9.1803921568627462</v>
      </c>
      <c r="BC10" s="4" t="s">
        <v>147</v>
      </c>
      <c r="BD10" s="5">
        <v>52</v>
      </c>
      <c r="BE10" s="5">
        <v>5</v>
      </c>
    </row>
    <row r="11" spans="3:57" x14ac:dyDescent="0.35">
      <c r="C11" s="5">
        <v>6</v>
      </c>
      <c r="D11" s="5">
        <v>72</v>
      </c>
      <c r="E11" s="5" t="s">
        <v>101</v>
      </c>
      <c r="F11" s="4" t="s">
        <v>52</v>
      </c>
      <c r="G11" s="4" t="s">
        <v>24</v>
      </c>
      <c r="H11" s="6">
        <v>196.4</v>
      </c>
      <c r="I11" s="6">
        <v>124.1</v>
      </c>
      <c r="J11" s="6">
        <v>175.8</v>
      </c>
      <c r="K11" s="6">
        <f>AVERAGE(Table5[[#This Row],[23 Pts]:[25 Proj]])</f>
        <v>240.79999999999998</v>
      </c>
      <c r="L11" s="49">
        <f>Table5[[#This Row],[Avg]]/17</f>
        <v>14.164705882352941</v>
      </c>
      <c r="M11" s="4" t="s">
        <v>150</v>
      </c>
      <c r="N11" s="5">
        <v>72</v>
      </c>
      <c r="O11" s="5">
        <v>6</v>
      </c>
      <c r="Q11" s="5">
        <v>6</v>
      </c>
      <c r="R11" s="5">
        <v>71</v>
      </c>
      <c r="S11" s="5" t="s">
        <v>136</v>
      </c>
      <c r="T11" s="4" t="s">
        <v>87</v>
      </c>
      <c r="U11" s="4" t="s">
        <v>24</v>
      </c>
      <c r="V11" s="6" t="s">
        <v>60</v>
      </c>
      <c r="W11" s="6">
        <v>182.3</v>
      </c>
      <c r="X11" s="6">
        <v>155.5</v>
      </c>
      <c r="Y11" s="6">
        <f>AVERAGE(Table5[[#This Row],[23 Pts]:[25 Proj]])</f>
        <v>240.79999999999998</v>
      </c>
      <c r="Z11" s="49">
        <f>Table5[[#This Row],[Avg]]/17</f>
        <v>14.164705882352941</v>
      </c>
      <c r="AA11" s="4" t="s">
        <v>429</v>
      </c>
      <c r="AB11" s="5">
        <v>71</v>
      </c>
      <c r="AC11" s="5">
        <v>6</v>
      </c>
      <c r="AE11" s="5">
        <v>6</v>
      </c>
      <c r="AF11" s="5">
        <v>70</v>
      </c>
      <c r="AG11" s="5" t="s">
        <v>232</v>
      </c>
      <c r="AH11" s="4" t="s">
        <v>94</v>
      </c>
      <c r="AI11" s="4" t="s">
        <v>424</v>
      </c>
      <c r="AJ11" s="6">
        <v>230.3</v>
      </c>
      <c r="AK11" s="6">
        <v>59.5</v>
      </c>
      <c r="AL11" s="6">
        <v>147.6</v>
      </c>
      <c r="AM11" s="6">
        <f>AVERAGE(Table5[[#This Row],[23 Pts]:[25 Proj]])</f>
        <v>240.79999999999998</v>
      </c>
      <c r="AN11" s="49">
        <f>Table5[[#This Row],[Avg]]/17</f>
        <v>14.164705882352941</v>
      </c>
      <c r="AO11" s="4" t="s">
        <v>428</v>
      </c>
      <c r="AP11" s="5">
        <v>70</v>
      </c>
      <c r="AQ11" s="5">
        <v>6</v>
      </c>
      <c r="AS11" s="5">
        <v>6</v>
      </c>
      <c r="AT11" s="5">
        <v>69</v>
      </c>
      <c r="AU11" s="5" t="s">
        <v>361</v>
      </c>
      <c r="AV11" s="4" t="s">
        <v>55</v>
      </c>
      <c r="AW11" s="4" t="s">
        <v>35</v>
      </c>
      <c r="AX11" s="6" t="s">
        <v>60</v>
      </c>
      <c r="AY11" s="6">
        <v>144.9</v>
      </c>
      <c r="AZ11" s="6">
        <v>192.1</v>
      </c>
      <c r="BA11" s="6">
        <f>AVERAGE(Table5[[#This Row],[23 Pts]:[25 Proj]])</f>
        <v>240.79999999999998</v>
      </c>
      <c r="BB11" s="49">
        <f>Table5[[#This Row],[Avg]]/17</f>
        <v>14.164705882352941</v>
      </c>
      <c r="BC11" s="4" t="s">
        <v>147</v>
      </c>
      <c r="BD11" s="5">
        <v>69</v>
      </c>
      <c r="BE11" s="5">
        <v>6</v>
      </c>
    </row>
    <row r="12" spans="3:57" x14ac:dyDescent="0.35">
      <c r="C12" s="5">
        <v>7</v>
      </c>
      <c r="D12" s="5">
        <v>73</v>
      </c>
      <c r="E12" s="5" t="s">
        <v>356</v>
      </c>
      <c r="F12" s="4" t="s">
        <v>21</v>
      </c>
      <c r="G12" s="4" t="s">
        <v>35</v>
      </c>
      <c r="H12" s="6">
        <v>198.6</v>
      </c>
      <c r="I12" s="6">
        <v>149.6</v>
      </c>
      <c r="J12" s="6">
        <v>198.3</v>
      </c>
      <c r="K12" s="6">
        <f>AVERAGE(Table5[[#This Row],[23 Pts]:[25 Proj]])</f>
        <v>180.4</v>
      </c>
      <c r="L12" s="49">
        <f>Table5[[#This Row],[Avg]]/17</f>
        <v>10.611764705882353</v>
      </c>
      <c r="M12" s="4" t="s">
        <v>150</v>
      </c>
      <c r="N12" s="5">
        <v>73</v>
      </c>
      <c r="O12" s="5">
        <v>7</v>
      </c>
      <c r="Q12" s="5">
        <v>7</v>
      </c>
      <c r="R12" s="5">
        <v>74</v>
      </c>
      <c r="S12" s="5" t="s">
        <v>431</v>
      </c>
      <c r="T12" s="4" t="s">
        <v>59</v>
      </c>
      <c r="U12" s="4" t="s">
        <v>24</v>
      </c>
      <c r="V12" s="6">
        <v>37.9</v>
      </c>
      <c r="W12" s="6">
        <v>31.5</v>
      </c>
      <c r="X12" s="6">
        <v>47.6</v>
      </c>
      <c r="Y12" s="6">
        <f>AVERAGE(Table5[[#This Row],[23 Pts]:[25 Proj]])</f>
        <v>180.4</v>
      </c>
      <c r="Z12" s="49">
        <f>Table5[[#This Row],[Avg]]/17</f>
        <v>10.611764705882353</v>
      </c>
      <c r="AA12" s="4" t="s">
        <v>429</v>
      </c>
      <c r="AB12" s="5">
        <v>74</v>
      </c>
      <c r="AC12" s="5">
        <v>7</v>
      </c>
      <c r="AE12" s="5">
        <v>7</v>
      </c>
      <c r="AF12" s="5">
        <v>75</v>
      </c>
      <c r="AG12" s="5" t="s">
        <v>26</v>
      </c>
      <c r="AH12" s="4" t="s">
        <v>27</v>
      </c>
      <c r="AI12" s="4" t="s">
        <v>24</v>
      </c>
      <c r="AJ12" s="6">
        <v>282.39999999999998</v>
      </c>
      <c r="AK12" s="6">
        <v>130.19999999999999</v>
      </c>
      <c r="AL12" s="6">
        <v>168.6</v>
      </c>
      <c r="AM12" s="6">
        <f>AVERAGE(Table5[[#This Row],[23 Pts]:[25 Proj]])</f>
        <v>180.4</v>
      </c>
      <c r="AN12" s="49">
        <f>Table5[[#This Row],[Avg]]/17</f>
        <v>10.611764705882353</v>
      </c>
      <c r="AO12" s="4" t="s">
        <v>428</v>
      </c>
      <c r="AP12" s="5">
        <v>75</v>
      </c>
      <c r="AQ12" s="5">
        <v>7</v>
      </c>
      <c r="AS12" s="5">
        <v>7</v>
      </c>
      <c r="AT12" s="5">
        <v>76</v>
      </c>
      <c r="AU12" s="5" t="s">
        <v>137</v>
      </c>
      <c r="AV12" s="4" t="s">
        <v>51</v>
      </c>
      <c r="AW12" s="4" t="s">
        <v>24</v>
      </c>
      <c r="AX12" s="6">
        <v>44.7</v>
      </c>
      <c r="AY12" s="6">
        <v>115</v>
      </c>
      <c r="AZ12" s="6">
        <v>138.6</v>
      </c>
      <c r="BA12" s="6">
        <f>AVERAGE(Table5[[#This Row],[23 Pts]:[25 Proj]])</f>
        <v>180.4</v>
      </c>
      <c r="BB12" s="49">
        <f>Table5[[#This Row],[Avg]]/17</f>
        <v>10.611764705882353</v>
      </c>
      <c r="BC12" s="4" t="s">
        <v>147</v>
      </c>
      <c r="BD12" s="5">
        <v>76</v>
      </c>
      <c r="BE12" s="5">
        <v>7</v>
      </c>
    </row>
    <row r="13" spans="3:57" x14ac:dyDescent="0.35">
      <c r="C13" s="5">
        <v>8</v>
      </c>
      <c r="D13" s="5">
        <v>96</v>
      </c>
      <c r="E13" s="5" t="s">
        <v>378</v>
      </c>
      <c r="F13" s="4" t="s">
        <v>85</v>
      </c>
      <c r="G13" s="4" t="s">
        <v>35</v>
      </c>
      <c r="H13" s="6">
        <v>164.4</v>
      </c>
      <c r="I13" s="6">
        <v>175</v>
      </c>
      <c r="J13" s="6">
        <v>159.80000000000001</v>
      </c>
      <c r="K13" s="6">
        <f>AVERAGE(Table5[[#This Row],[23 Pts]:[25 Proj]])</f>
        <v>128.66666666666666</v>
      </c>
      <c r="L13" s="49">
        <f>Table5[[#This Row],[Avg]]/17</f>
        <v>7.5686274509803919</v>
      </c>
      <c r="M13" s="4" t="s">
        <v>150</v>
      </c>
      <c r="N13" s="5">
        <v>96</v>
      </c>
      <c r="O13" s="5">
        <v>8</v>
      </c>
      <c r="Q13" s="5">
        <v>8</v>
      </c>
      <c r="R13" s="5">
        <v>95</v>
      </c>
      <c r="S13" s="5" t="s">
        <v>231</v>
      </c>
      <c r="T13" s="4" t="s">
        <v>73</v>
      </c>
      <c r="U13" s="4" t="s">
        <v>424</v>
      </c>
      <c r="V13" s="6" t="s">
        <v>60</v>
      </c>
      <c r="W13" s="6" t="s">
        <v>60</v>
      </c>
      <c r="X13" s="6">
        <v>146.5</v>
      </c>
      <c r="Y13" s="6">
        <f>AVERAGE(Table5[[#This Row],[23 Pts]:[25 Proj]])</f>
        <v>128.66666666666666</v>
      </c>
      <c r="Z13" s="49">
        <f>Table5[[#This Row],[Avg]]/17</f>
        <v>7.5686274509803919</v>
      </c>
      <c r="AA13" s="4" t="s">
        <v>429</v>
      </c>
      <c r="AB13" s="5">
        <v>95</v>
      </c>
      <c r="AC13" s="5">
        <v>8</v>
      </c>
      <c r="AE13" s="5">
        <v>8</v>
      </c>
      <c r="AF13" s="5">
        <v>94</v>
      </c>
      <c r="AG13" s="5" t="s">
        <v>371</v>
      </c>
      <c r="AH13" s="4" t="s">
        <v>9</v>
      </c>
      <c r="AI13" s="4" t="s">
        <v>35</v>
      </c>
      <c r="AJ13" s="6">
        <v>113.1</v>
      </c>
      <c r="AK13" s="6">
        <v>182.5</v>
      </c>
      <c r="AL13" s="6">
        <v>172.6</v>
      </c>
      <c r="AM13" s="6">
        <f>AVERAGE(Table5[[#This Row],[23 Pts]:[25 Proj]])</f>
        <v>128.66666666666666</v>
      </c>
      <c r="AN13" s="49">
        <f>Table5[[#This Row],[Avg]]/17</f>
        <v>7.5686274509803919</v>
      </c>
      <c r="AO13" s="4" t="s">
        <v>428</v>
      </c>
      <c r="AP13" s="5">
        <v>94</v>
      </c>
      <c r="AQ13" s="5">
        <v>8</v>
      </c>
      <c r="AS13" s="5">
        <v>8</v>
      </c>
      <c r="AT13" s="5">
        <v>93</v>
      </c>
      <c r="AU13" s="5" t="s">
        <v>115</v>
      </c>
      <c r="AV13" s="4" t="s">
        <v>83</v>
      </c>
      <c r="AW13" s="4" t="s">
        <v>24</v>
      </c>
      <c r="AX13" s="6">
        <v>145.69999999999999</v>
      </c>
      <c r="AY13" s="6">
        <v>175.9</v>
      </c>
      <c r="AZ13" s="6">
        <v>132.4</v>
      </c>
      <c r="BA13" s="6">
        <f>AVERAGE(Table5[[#This Row],[23 Pts]:[25 Proj]])</f>
        <v>128.66666666666666</v>
      </c>
      <c r="BB13" s="49">
        <f>Table5[[#This Row],[Avg]]/17</f>
        <v>7.5686274509803919</v>
      </c>
      <c r="BC13" s="4" t="s">
        <v>147</v>
      </c>
      <c r="BD13" s="5">
        <v>93</v>
      </c>
      <c r="BE13" s="5">
        <v>8</v>
      </c>
    </row>
    <row r="14" spans="3:57" x14ac:dyDescent="0.35">
      <c r="C14" s="5">
        <v>9</v>
      </c>
      <c r="D14" s="5">
        <v>97</v>
      </c>
      <c r="E14" s="5" t="s">
        <v>198</v>
      </c>
      <c r="F14" s="4" t="s">
        <v>20</v>
      </c>
      <c r="G14" s="4" t="s">
        <v>24</v>
      </c>
      <c r="H14" s="6" t="s">
        <v>60</v>
      </c>
      <c r="I14" s="6">
        <v>85.2</v>
      </c>
      <c r="J14" s="6">
        <v>65.900000000000006</v>
      </c>
      <c r="K14" s="6">
        <f>AVERAGE(Table5[[#This Row],[23 Pts]:[25 Proj]])</f>
        <v>283.16000000000003</v>
      </c>
      <c r="L14" s="49">
        <f>Table5[[#This Row],[Avg]]/17</f>
        <v>16.656470588235294</v>
      </c>
      <c r="M14" s="4" t="s">
        <v>150</v>
      </c>
      <c r="N14" s="5">
        <v>97</v>
      </c>
      <c r="O14" s="5">
        <v>9</v>
      </c>
      <c r="Q14" s="5">
        <v>9</v>
      </c>
      <c r="R14" s="5">
        <v>98</v>
      </c>
      <c r="S14" s="5" t="s">
        <v>382</v>
      </c>
      <c r="T14" s="4" t="s">
        <v>9</v>
      </c>
      <c r="U14" s="4" t="s">
        <v>35</v>
      </c>
      <c r="V14" s="6" t="s">
        <v>60</v>
      </c>
      <c r="W14" s="6">
        <v>111.5</v>
      </c>
      <c r="X14" s="6">
        <v>150.5</v>
      </c>
      <c r="Y14" s="6">
        <f>AVERAGE(Table5[[#This Row],[23 Pts]:[25 Proj]])</f>
        <v>283.16000000000003</v>
      </c>
      <c r="Z14" s="49">
        <f>Table5[[#This Row],[Avg]]/17</f>
        <v>16.656470588235294</v>
      </c>
      <c r="AA14" s="4" t="s">
        <v>429</v>
      </c>
      <c r="AB14" s="5">
        <v>98</v>
      </c>
      <c r="AC14" s="5">
        <v>9</v>
      </c>
      <c r="AE14" s="5">
        <v>9</v>
      </c>
      <c r="AF14" s="5">
        <v>99</v>
      </c>
      <c r="AG14" s="5" t="s">
        <v>57</v>
      </c>
      <c r="AH14" s="4" t="s">
        <v>48</v>
      </c>
      <c r="AI14" s="4" t="s">
        <v>24</v>
      </c>
      <c r="AJ14" s="6">
        <v>267</v>
      </c>
      <c r="AK14" s="6">
        <v>240.5</v>
      </c>
      <c r="AL14" s="6">
        <v>214.9</v>
      </c>
      <c r="AM14" s="6">
        <f>AVERAGE(Table5[[#This Row],[23 Pts]:[25 Proj]])</f>
        <v>283.16000000000003</v>
      </c>
      <c r="AN14" s="49">
        <f>Table5[[#This Row],[Avg]]/17</f>
        <v>16.656470588235294</v>
      </c>
      <c r="AO14" s="4" t="s">
        <v>428</v>
      </c>
      <c r="AP14" s="5">
        <v>99</v>
      </c>
      <c r="AQ14" s="5">
        <v>9</v>
      </c>
      <c r="AS14" s="5">
        <v>9</v>
      </c>
      <c r="AT14" s="5">
        <v>100</v>
      </c>
      <c r="AU14" s="5" t="s">
        <v>105</v>
      </c>
      <c r="AV14" s="4" t="s">
        <v>14</v>
      </c>
      <c r="AW14" s="4" t="s">
        <v>24</v>
      </c>
      <c r="AX14" s="6">
        <v>179.2</v>
      </c>
      <c r="AY14" s="6">
        <v>157.9</v>
      </c>
      <c r="AZ14" s="6">
        <v>106.5</v>
      </c>
      <c r="BA14" s="6">
        <f>AVERAGE(Table5[[#This Row],[23 Pts]:[25 Proj]])</f>
        <v>283.16000000000003</v>
      </c>
      <c r="BB14" s="49">
        <f>Table5[[#This Row],[Avg]]/17</f>
        <v>16.656470588235294</v>
      </c>
      <c r="BC14" s="4" t="s">
        <v>147</v>
      </c>
      <c r="BD14" s="5">
        <v>100</v>
      </c>
      <c r="BE14" s="5">
        <v>9</v>
      </c>
    </row>
    <row r="15" spans="3:57" x14ac:dyDescent="0.35">
      <c r="C15" s="5">
        <v>10</v>
      </c>
      <c r="D15" s="5">
        <v>120</v>
      </c>
      <c r="E15" s="5" t="s">
        <v>63</v>
      </c>
      <c r="F15" s="4" t="s">
        <v>55</v>
      </c>
      <c r="G15" s="4" t="s">
        <v>10</v>
      </c>
      <c r="H15" s="6" t="s">
        <v>60</v>
      </c>
      <c r="I15" s="6">
        <v>260.54000000000002</v>
      </c>
      <c r="J15" s="6">
        <v>281.41000000000003</v>
      </c>
      <c r="K15" s="6">
        <f>AVERAGE(Table5[[#This Row],[23 Pts]:[25 Proj]])</f>
        <v>142.66666666666666</v>
      </c>
      <c r="L15" s="49">
        <f>Table5[[#This Row],[Avg]]/17</f>
        <v>8.3921568627450966</v>
      </c>
      <c r="M15" s="4" t="s">
        <v>150</v>
      </c>
      <c r="N15" s="5">
        <v>120</v>
      </c>
      <c r="O15" s="5">
        <v>10</v>
      </c>
      <c r="Q15" s="5">
        <v>10</v>
      </c>
      <c r="R15" s="5">
        <v>119</v>
      </c>
      <c r="S15" s="5" t="s">
        <v>185</v>
      </c>
      <c r="T15" s="4" t="s">
        <v>87</v>
      </c>
      <c r="U15" s="4" t="s">
        <v>24</v>
      </c>
      <c r="V15" s="6" t="s">
        <v>60</v>
      </c>
      <c r="W15" s="6" t="s">
        <v>60</v>
      </c>
      <c r="X15" s="6">
        <v>136.30000000000001</v>
      </c>
      <c r="Y15" s="6">
        <f>AVERAGE(Table5[[#This Row],[23 Pts]:[25 Proj]])</f>
        <v>142.66666666666666</v>
      </c>
      <c r="Z15" s="49">
        <f>Table5[[#This Row],[Avg]]/17</f>
        <v>8.3921568627450966</v>
      </c>
      <c r="AA15" s="4" t="s">
        <v>429</v>
      </c>
      <c r="AB15" s="5">
        <v>119</v>
      </c>
      <c r="AC15" s="5">
        <v>10</v>
      </c>
      <c r="AE15" s="5">
        <v>10</v>
      </c>
      <c r="AF15" s="5">
        <v>118</v>
      </c>
      <c r="AG15" s="5" t="s">
        <v>181</v>
      </c>
      <c r="AH15" s="4" t="s">
        <v>34</v>
      </c>
      <c r="AI15" s="4" t="s">
        <v>24</v>
      </c>
      <c r="AJ15" s="6" t="s">
        <v>60</v>
      </c>
      <c r="AK15" s="6" t="s">
        <v>60</v>
      </c>
      <c r="AL15" s="6">
        <v>180.4</v>
      </c>
      <c r="AM15" s="6">
        <f>AVERAGE(Table5[[#This Row],[23 Pts]:[25 Proj]])</f>
        <v>142.66666666666666</v>
      </c>
      <c r="AN15" s="49">
        <f>Table5[[#This Row],[Avg]]/17</f>
        <v>8.3921568627450966</v>
      </c>
      <c r="AO15" s="4" t="s">
        <v>428</v>
      </c>
      <c r="AP15" s="5">
        <v>118</v>
      </c>
      <c r="AQ15" s="5">
        <v>10</v>
      </c>
      <c r="AS15" s="5">
        <v>10</v>
      </c>
      <c r="AT15" s="5">
        <v>117</v>
      </c>
      <c r="AU15" s="5" t="s">
        <v>363</v>
      </c>
      <c r="AV15" s="4" t="s">
        <v>42</v>
      </c>
      <c r="AW15" s="4" t="s">
        <v>35</v>
      </c>
      <c r="AX15" s="6">
        <v>209.2</v>
      </c>
      <c r="AY15" s="6">
        <v>137.80000000000001</v>
      </c>
      <c r="AZ15" s="6">
        <v>185.5</v>
      </c>
      <c r="BA15" s="6">
        <f>AVERAGE(Table5[[#This Row],[23 Pts]:[25 Proj]])</f>
        <v>142.66666666666666</v>
      </c>
      <c r="BB15" s="49">
        <f>Table5[[#This Row],[Avg]]/17</f>
        <v>8.3921568627450966</v>
      </c>
      <c r="BC15" s="4" t="s">
        <v>147</v>
      </c>
      <c r="BD15" s="5">
        <v>117</v>
      </c>
      <c r="BE15" s="5">
        <v>10</v>
      </c>
    </row>
    <row r="16" spans="3:57" x14ac:dyDescent="0.35">
      <c r="C16" s="5">
        <v>11</v>
      </c>
      <c r="D16" s="5">
        <v>121</v>
      </c>
      <c r="E16" s="5" t="s">
        <v>234</v>
      </c>
      <c r="F16" s="4" t="s">
        <v>18</v>
      </c>
      <c r="G16" s="4" t="s">
        <v>424</v>
      </c>
      <c r="H16" s="6">
        <v>136.30000000000001</v>
      </c>
      <c r="I16" s="6">
        <v>103.6</v>
      </c>
      <c r="J16" s="6">
        <v>143.30000000000001</v>
      </c>
      <c r="K16" s="6">
        <f>AVERAGE(Table5[[#This Row],[23 Pts]:[25 Proj]])</f>
        <v>73.266666666666666</v>
      </c>
      <c r="L16" s="49">
        <f>Table5[[#This Row],[Avg]]/17</f>
        <v>4.3098039215686272</v>
      </c>
      <c r="M16" s="4" t="s">
        <v>150</v>
      </c>
      <c r="N16" s="5">
        <v>121</v>
      </c>
      <c r="O16" s="5">
        <v>11</v>
      </c>
      <c r="Q16" s="5">
        <v>11</v>
      </c>
      <c r="R16" s="5">
        <v>122</v>
      </c>
      <c r="S16" s="5" t="s">
        <v>385</v>
      </c>
      <c r="T16" s="4" t="s">
        <v>23</v>
      </c>
      <c r="U16" s="4" t="s">
        <v>35</v>
      </c>
      <c r="V16" s="6">
        <v>76.5</v>
      </c>
      <c r="W16" s="6">
        <v>174.6</v>
      </c>
      <c r="X16" s="6">
        <v>142.9</v>
      </c>
      <c r="Y16" s="6">
        <f>AVERAGE(Table5[[#This Row],[23 Pts]:[25 Proj]])</f>
        <v>73.266666666666666</v>
      </c>
      <c r="Z16" s="49">
        <f>Table5[[#This Row],[Avg]]/17</f>
        <v>4.3098039215686272</v>
      </c>
      <c r="AA16" s="4" t="s">
        <v>429</v>
      </c>
      <c r="AB16" s="5">
        <v>122</v>
      </c>
      <c r="AC16" s="5">
        <v>11</v>
      </c>
      <c r="AE16" s="5">
        <v>11</v>
      </c>
      <c r="AF16" s="5">
        <v>123</v>
      </c>
      <c r="AG16" s="5" t="s">
        <v>271</v>
      </c>
      <c r="AH16" s="4" t="s">
        <v>18</v>
      </c>
      <c r="AI16" s="4" t="s">
        <v>1</v>
      </c>
      <c r="AJ16" s="6">
        <v>102</v>
      </c>
      <c r="AK16" s="6">
        <v>152</v>
      </c>
      <c r="AL16" s="6">
        <v>132</v>
      </c>
      <c r="AM16" s="6">
        <f>AVERAGE(Table5[[#This Row],[23 Pts]:[25 Proj]])</f>
        <v>73.266666666666666</v>
      </c>
      <c r="AN16" s="49">
        <f>Table5[[#This Row],[Avg]]/17</f>
        <v>4.3098039215686272</v>
      </c>
      <c r="AO16" s="4" t="s">
        <v>428</v>
      </c>
      <c r="AP16" s="5">
        <v>123</v>
      </c>
      <c r="AQ16" s="5">
        <v>11</v>
      </c>
      <c r="AS16" s="5">
        <v>11</v>
      </c>
      <c r="AT16" s="5">
        <v>124</v>
      </c>
      <c r="AU16" s="5" t="s">
        <v>272</v>
      </c>
      <c r="AV16" s="4" t="s">
        <v>23</v>
      </c>
      <c r="AW16" s="4" t="s">
        <v>1</v>
      </c>
      <c r="AX16" s="6">
        <v>174</v>
      </c>
      <c r="AY16" s="6">
        <v>142</v>
      </c>
      <c r="AZ16" s="6">
        <v>120</v>
      </c>
      <c r="BA16" s="6">
        <f>AVERAGE(Table5[[#This Row],[23 Pts]:[25 Proj]])</f>
        <v>73.266666666666666</v>
      </c>
      <c r="BB16" s="49">
        <f>Table5[[#This Row],[Avg]]/17</f>
        <v>4.3098039215686272</v>
      </c>
      <c r="BC16" s="4" t="s">
        <v>147</v>
      </c>
      <c r="BD16" s="5">
        <v>124</v>
      </c>
      <c r="BE16" s="5">
        <v>11</v>
      </c>
    </row>
    <row r="17" spans="3:57" x14ac:dyDescent="0.35">
      <c r="C17" s="5">
        <v>12</v>
      </c>
      <c r="D17" s="5">
        <v>144</v>
      </c>
      <c r="E17" s="5" t="s">
        <v>306</v>
      </c>
      <c r="F17" s="4" t="s">
        <v>48</v>
      </c>
      <c r="G17" s="4" t="s">
        <v>117</v>
      </c>
      <c r="H17" s="6">
        <v>114</v>
      </c>
      <c r="I17" s="6">
        <v>172</v>
      </c>
      <c r="J17" s="6">
        <v>147</v>
      </c>
      <c r="K17" s="6">
        <f>AVERAGE(Table5[[#This Row],[23 Pts]:[25 Proj]])</f>
        <v>170.29999999999998</v>
      </c>
      <c r="L17" s="49">
        <f>Table5[[#This Row],[Avg]]/17</f>
        <v>10.017647058823528</v>
      </c>
      <c r="M17" s="4" t="s">
        <v>150</v>
      </c>
      <c r="N17" s="5">
        <v>144</v>
      </c>
      <c r="O17" s="5">
        <v>12</v>
      </c>
      <c r="Q17" s="5">
        <v>12</v>
      </c>
      <c r="R17" s="5">
        <v>143</v>
      </c>
      <c r="S17" s="5" t="s">
        <v>132</v>
      </c>
      <c r="T17" s="4" t="s">
        <v>51</v>
      </c>
      <c r="U17" s="4" t="s">
        <v>10</v>
      </c>
      <c r="V17" s="6" t="s">
        <v>60</v>
      </c>
      <c r="W17" s="6" t="s">
        <v>60</v>
      </c>
      <c r="X17" s="6">
        <v>284.16000000000003</v>
      </c>
      <c r="Y17" s="6">
        <f>AVERAGE(Table5[[#This Row],[23 Pts]:[25 Proj]])</f>
        <v>170.29999999999998</v>
      </c>
      <c r="Z17" s="49">
        <f>Table5[[#This Row],[Avg]]/17</f>
        <v>10.017647058823528</v>
      </c>
      <c r="AA17" s="4" t="s">
        <v>429</v>
      </c>
      <c r="AB17" s="5">
        <v>143</v>
      </c>
      <c r="AC17" s="5">
        <v>12</v>
      </c>
      <c r="AE17" s="5">
        <v>12</v>
      </c>
      <c r="AF17" s="5">
        <v>142</v>
      </c>
      <c r="AG17" s="5" t="s">
        <v>39</v>
      </c>
      <c r="AH17" s="4" t="s">
        <v>40</v>
      </c>
      <c r="AI17" s="4" t="s">
        <v>10</v>
      </c>
      <c r="AJ17" s="6">
        <v>330.06</v>
      </c>
      <c r="AK17" s="6">
        <v>244.86</v>
      </c>
      <c r="AL17" s="6">
        <v>274.56</v>
      </c>
      <c r="AM17" s="6">
        <f>AVERAGE(Table5[[#This Row],[23 Pts]:[25 Proj]])</f>
        <v>170.29999999999998</v>
      </c>
      <c r="AN17" s="49">
        <f>Table5[[#This Row],[Avg]]/17</f>
        <v>10.017647058823528</v>
      </c>
      <c r="AO17" s="4" t="s">
        <v>428</v>
      </c>
      <c r="AP17" s="5">
        <v>142</v>
      </c>
      <c r="AQ17" s="5">
        <v>12</v>
      </c>
      <c r="AS17" s="5">
        <v>12</v>
      </c>
      <c r="AT17" s="5">
        <v>141</v>
      </c>
      <c r="AU17" s="5" t="s">
        <v>305</v>
      </c>
      <c r="AV17" s="4" t="s">
        <v>16</v>
      </c>
      <c r="AW17" s="4" t="s">
        <v>117</v>
      </c>
      <c r="AX17" s="6" t="s">
        <v>60</v>
      </c>
      <c r="AY17" s="6">
        <v>161</v>
      </c>
      <c r="AZ17" s="6">
        <v>148</v>
      </c>
      <c r="BA17" s="6">
        <f>AVERAGE(Table5[[#This Row],[23 Pts]:[25 Proj]])</f>
        <v>170.29999999999998</v>
      </c>
      <c r="BB17" s="49">
        <f>Table5[[#This Row],[Avg]]/17</f>
        <v>10.017647058823528</v>
      </c>
      <c r="BC17" s="4" t="s">
        <v>147</v>
      </c>
      <c r="BD17" s="5">
        <v>141</v>
      </c>
      <c r="BE17" s="5">
        <v>12</v>
      </c>
    </row>
    <row r="18" spans="3:57" x14ac:dyDescent="0.35">
      <c r="C18" s="5">
        <v>13</v>
      </c>
      <c r="D18" s="5">
        <v>145</v>
      </c>
      <c r="E18" s="5" t="s">
        <v>276</v>
      </c>
      <c r="F18" s="4" t="s">
        <v>52</v>
      </c>
      <c r="G18" s="4" t="s">
        <v>1</v>
      </c>
      <c r="H18" s="6">
        <v>143</v>
      </c>
      <c r="I18" s="6">
        <v>137</v>
      </c>
      <c r="J18" s="6">
        <v>140</v>
      </c>
      <c r="K18" s="6">
        <f>AVERAGE(Table5[[#This Row],[23 Pts]:[25 Proj]])</f>
        <v>295.23333333333335</v>
      </c>
      <c r="L18" s="49">
        <f>Table5[[#This Row],[Avg]]/17</f>
        <v>17.366666666666667</v>
      </c>
      <c r="M18" s="4" t="s">
        <v>150</v>
      </c>
      <c r="N18" s="5">
        <v>145</v>
      </c>
      <c r="O18" s="5">
        <v>13</v>
      </c>
      <c r="Q18" s="5">
        <v>13</v>
      </c>
      <c r="R18" s="5">
        <v>146</v>
      </c>
      <c r="S18" s="5" t="s">
        <v>186</v>
      </c>
      <c r="T18" s="4" t="s">
        <v>14</v>
      </c>
      <c r="U18" s="4" t="s">
        <v>24</v>
      </c>
      <c r="V18" s="6" t="s">
        <v>60</v>
      </c>
      <c r="W18" s="6" t="s">
        <v>60</v>
      </c>
      <c r="X18" s="6">
        <v>110.1</v>
      </c>
      <c r="Y18" s="6">
        <f>AVERAGE(Table5[[#This Row],[23 Pts]:[25 Proj]])</f>
        <v>295.23333333333335</v>
      </c>
      <c r="Z18" s="49">
        <f>Table5[[#This Row],[Avg]]/17</f>
        <v>17.366666666666667</v>
      </c>
      <c r="AA18" s="4" t="s">
        <v>429</v>
      </c>
      <c r="AB18" s="5">
        <v>146</v>
      </c>
      <c r="AC18" s="5">
        <v>13</v>
      </c>
      <c r="AE18" s="5">
        <v>13</v>
      </c>
      <c r="AF18" s="5">
        <v>147</v>
      </c>
      <c r="AG18" s="5" t="s">
        <v>317</v>
      </c>
      <c r="AH18" s="4" t="s">
        <v>94</v>
      </c>
      <c r="AI18" s="4" t="s">
        <v>117</v>
      </c>
      <c r="AJ18" s="6">
        <v>129</v>
      </c>
      <c r="AK18" s="6">
        <v>160</v>
      </c>
      <c r="AL18" s="6">
        <v>139</v>
      </c>
      <c r="AM18" s="6">
        <f>AVERAGE(Table5[[#This Row],[23 Pts]:[25 Proj]])</f>
        <v>295.23333333333335</v>
      </c>
      <c r="AN18" s="49">
        <f>Table5[[#This Row],[Avg]]/17</f>
        <v>17.366666666666667</v>
      </c>
      <c r="AO18" s="4" t="s">
        <v>428</v>
      </c>
      <c r="AP18" s="5">
        <v>147</v>
      </c>
      <c r="AQ18" s="5">
        <v>13</v>
      </c>
      <c r="AS18" s="5">
        <v>13</v>
      </c>
      <c r="AT18" s="5">
        <v>148</v>
      </c>
      <c r="AU18" s="5" t="s">
        <v>134</v>
      </c>
      <c r="AV18" s="4" t="s">
        <v>48</v>
      </c>
      <c r="AW18" s="4" t="s">
        <v>24</v>
      </c>
      <c r="AX18" s="6">
        <v>23.1</v>
      </c>
      <c r="AY18" s="6">
        <v>63.3</v>
      </c>
      <c r="AZ18" s="6">
        <v>68.599999999999994</v>
      </c>
      <c r="BA18" s="6">
        <f>AVERAGE(Table5[[#This Row],[23 Pts]:[25 Proj]])</f>
        <v>295.23333333333335</v>
      </c>
      <c r="BB18" s="49">
        <f>Table5[[#This Row],[Avg]]/17</f>
        <v>17.366666666666667</v>
      </c>
      <c r="BC18" s="4" t="s">
        <v>147</v>
      </c>
      <c r="BD18" s="5">
        <v>148</v>
      </c>
      <c r="BE18" s="5">
        <v>13</v>
      </c>
    </row>
    <row r="19" spans="3:57" x14ac:dyDescent="0.35">
      <c r="C19" s="5">
        <v>14</v>
      </c>
      <c r="D19" s="5">
        <v>168</v>
      </c>
      <c r="E19" s="5" t="s">
        <v>395</v>
      </c>
      <c r="F19" s="4" t="s">
        <v>34</v>
      </c>
      <c r="G19" s="4" t="s">
        <v>35</v>
      </c>
      <c r="H19" s="6">
        <v>44.2</v>
      </c>
      <c r="I19" s="6">
        <v>80.400000000000006</v>
      </c>
      <c r="J19" s="6">
        <v>111.2</v>
      </c>
      <c r="K19" s="6">
        <f>AVERAGE(Table5[[#This Row],[23 Pts]:[25 Proj]])</f>
        <v>214.5</v>
      </c>
      <c r="L19" s="49">
        <f>Table5[[#This Row],[Avg]]/17</f>
        <v>12.617647058823529</v>
      </c>
      <c r="M19" s="4" t="s">
        <v>150</v>
      </c>
      <c r="N19" s="5">
        <v>168</v>
      </c>
      <c r="O19" s="5">
        <v>14</v>
      </c>
      <c r="Q19" s="5">
        <v>14</v>
      </c>
      <c r="R19" s="5">
        <v>167</v>
      </c>
      <c r="S19" s="5" t="s">
        <v>281</v>
      </c>
      <c r="T19" s="4" t="s">
        <v>38</v>
      </c>
      <c r="U19" s="4" t="s">
        <v>1</v>
      </c>
      <c r="V19" s="6">
        <v>83</v>
      </c>
      <c r="W19" s="6">
        <v>114</v>
      </c>
      <c r="X19" s="6">
        <v>118</v>
      </c>
      <c r="Y19" s="6">
        <f>AVERAGE(Table5[[#This Row],[23 Pts]:[25 Proj]])</f>
        <v>214.5</v>
      </c>
      <c r="Z19" s="49">
        <f>Table5[[#This Row],[Avg]]/17</f>
        <v>12.617647058823529</v>
      </c>
      <c r="AA19" s="4" t="s">
        <v>429</v>
      </c>
      <c r="AB19" s="5">
        <v>167</v>
      </c>
      <c r="AC19" s="5">
        <v>14</v>
      </c>
      <c r="AE19" s="5">
        <v>14</v>
      </c>
      <c r="AF19" s="5">
        <v>166</v>
      </c>
      <c r="AG19" s="5" t="s">
        <v>240</v>
      </c>
      <c r="AH19" s="4" t="s">
        <v>27</v>
      </c>
      <c r="AI19" s="4" t="s">
        <v>424</v>
      </c>
      <c r="AJ19" s="6">
        <v>14.5</v>
      </c>
      <c r="AK19" s="6">
        <v>91.1</v>
      </c>
      <c r="AL19" s="6">
        <v>114.2</v>
      </c>
      <c r="AM19" s="6">
        <f>AVERAGE(Table5[[#This Row],[23 Pts]:[25 Proj]])</f>
        <v>214.5</v>
      </c>
      <c r="AN19" s="49">
        <f>Table5[[#This Row],[Avg]]/17</f>
        <v>12.617647058823529</v>
      </c>
      <c r="AO19" s="4" t="s">
        <v>428</v>
      </c>
      <c r="AP19" s="5">
        <v>166</v>
      </c>
      <c r="AQ19" s="5">
        <v>14</v>
      </c>
      <c r="AS19" s="5">
        <v>14</v>
      </c>
      <c r="AT19" s="5">
        <v>165</v>
      </c>
      <c r="AU19" s="5" t="s">
        <v>244</v>
      </c>
      <c r="AV19" s="4" t="s">
        <v>52</v>
      </c>
      <c r="AW19" s="4" t="s">
        <v>424</v>
      </c>
      <c r="AX19" s="6">
        <v>124.2</v>
      </c>
      <c r="AY19" s="6">
        <v>222.3</v>
      </c>
      <c r="AZ19" s="6">
        <v>109.4</v>
      </c>
      <c r="BA19" s="6">
        <f>AVERAGE(Table5[[#This Row],[23 Pts]:[25 Proj]])</f>
        <v>214.5</v>
      </c>
      <c r="BB19" s="49">
        <f>Table5[[#This Row],[Avg]]/17</f>
        <v>12.617647058823529</v>
      </c>
      <c r="BC19" s="4" t="s">
        <v>147</v>
      </c>
      <c r="BD19" s="5">
        <v>165</v>
      </c>
      <c r="BE19" s="5">
        <v>14</v>
      </c>
    </row>
    <row r="20" spans="3:57" x14ac:dyDescent="0.35">
      <c r="C20" s="5">
        <v>15</v>
      </c>
      <c r="D20" s="5">
        <v>169</v>
      </c>
      <c r="E20" s="5" t="s">
        <v>277</v>
      </c>
      <c r="F20" s="4" t="s">
        <v>22</v>
      </c>
      <c r="G20" s="4" t="s">
        <v>1</v>
      </c>
      <c r="H20" s="6">
        <v>134</v>
      </c>
      <c r="I20" s="6">
        <v>132</v>
      </c>
      <c r="J20" s="6">
        <v>106</v>
      </c>
      <c r="K20" s="6">
        <f>AVERAGE(Table5[[#This Row],[23 Pts]:[25 Proj]])</f>
        <v>250.75</v>
      </c>
      <c r="L20" s="49">
        <f>Table5[[#This Row],[Avg]]/17</f>
        <v>14.75</v>
      </c>
      <c r="M20" s="4" t="s">
        <v>150</v>
      </c>
      <c r="N20" s="5">
        <v>169</v>
      </c>
      <c r="O20" s="5">
        <v>15</v>
      </c>
      <c r="Q20" s="5">
        <v>15</v>
      </c>
      <c r="R20" s="5">
        <v>170</v>
      </c>
      <c r="S20" s="5" t="s">
        <v>312</v>
      </c>
      <c r="T20" s="4" t="s">
        <v>44</v>
      </c>
      <c r="U20" s="4" t="s">
        <v>117</v>
      </c>
      <c r="V20" s="6">
        <v>140</v>
      </c>
      <c r="W20" s="6">
        <v>94</v>
      </c>
      <c r="X20" s="6">
        <v>142</v>
      </c>
      <c r="Y20" s="6">
        <f>AVERAGE(Table5[[#This Row],[23 Pts]:[25 Proj]])</f>
        <v>250.75</v>
      </c>
      <c r="Z20" s="49">
        <f>Table5[[#This Row],[Avg]]/17</f>
        <v>14.75</v>
      </c>
      <c r="AA20" s="4" t="s">
        <v>429</v>
      </c>
      <c r="AB20" s="5">
        <v>170</v>
      </c>
      <c r="AC20" s="5">
        <v>15</v>
      </c>
      <c r="AE20" s="5">
        <v>15</v>
      </c>
      <c r="AF20" s="5">
        <v>171</v>
      </c>
      <c r="AG20" s="5" t="s">
        <v>386</v>
      </c>
      <c r="AH20" s="4" t="s">
        <v>104</v>
      </c>
      <c r="AI20" s="4" t="s">
        <v>35</v>
      </c>
      <c r="AJ20" s="6">
        <v>231</v>
      </c>
      <c r="AK20" s="6">
        <v>139.5</v>
      </c>
      <c r="AL20" s="6">
        <v>140.4</v>
      </c>
      <c r="AM20" s="6">
        <f>AVERAGE(Table5[[#This Row],[23 Pts]:[25 Proj]])</f>
        <v>250.75</v>
      </c>
      <c r="AN20" s="49">
        <f>Table5[[#This Row],[Avg]]/17</f>
        <v>14.75</v>
      </c>
      <c r="AO20" s="4" t="s">
        <v>428</v>
      </c>
      <c r="AP20" s="5">
        <v>171</v>
      </c>
      <c r="AQ20" s="5">
        <v>15</v>
      </c>
      <c r="AS20" s="5">
        <v>15</v>
      </c>
      <c r="AT20" s="5">
        <v>172</v>
      </c>
      <c r="AU20" s="5" t="s">
        <v>384</v>
      </c>
      <c r="AV20" s="4" t="s">
        <v>55</v>
      </c>
      <c r="AW20" s="4" t="s">
        <v>35</v>
      </c>
      <c r="AX20" s="6" t="s">
        <v>60</v>
      </c>
      <c r="AY20" s="6" t="s">
        <v>60</v>
      </c>
      <c r="AZ20" s="6">
        <v>145.80000000000001</v>
      </c>
      <c r="BA20" s="6">
        <f>AVERAGE(Table5[[#This Row],[23 Pts]:[25 Proj]])</f>
        <v>250.75</v>
      </c>
      <c r="BB20" s="49">
        <f>Table5[[#This Row],[Avg]]/17</f>
        <v>14.75</v>
      </c>
      <c r="BC20" s="4" t="s">
        <v>147</v>
      </c>
      <c r="BD20" s="5">
        <v>172</v>
      </c>
      <c r="BE20" s="5">
        <v>15</v>
      </c>
    </row>
    <row r="21" spans="3:57" x14ac:dyDescent="0.35">
      <c r="C21" s="5">
        <v>16</v>
      </c>
      <c r="D21" s="5">
        <v>192</v>
      </c>
      <c r="E21" s="5" t="s">
        <v>43</v>
      </c>
      <c r="F21" s="4" t="s">
        <v>44</v>
      </c>
      <c r="G21" s="4" t="s">
        <v>35</v>
      </c>
      <c r="H21" s="6">
        <v>262.72000000000003</v>
      </c>
      <c r="I21" s="6">
        <v>403</v>
      </c>
      <c r="J21" s="6">
        <v>320</v>
      </c>
      <c r="K21" s="6">
        <f>AVERAGE(Table5[[#This Row],[23 Pts]:[25 Proj]])</f>
        <v>212.9666666666667</v>
      </c>
      <c r="L21" s="49">
        <f>Table5[[#This Row],[Avg]]/17</f>
        <v>12.527450980392159</v>
      </c>
      <c r="M21" s="4" t="s">
        <v>150</v>
      </c>
      <c r="N21" s="5">
        <v>192</v>
      </c>
      <c r="O21" s="5">
        <v>16</v>
      </c>
      <c r="Q21" s="5">
        <v>16</v>
      </c>
      <c r="R21" s="5">
        <v>191</v>
      </c>
      <c r="S21" s="5" t="s">
        <v>337</v>
      </c>
      <c r="T21" s="4" t="s">
        <v>27</v>
      </c>
      <c r="U21" s="4" t="s">
        <v>35</v>
      </c>
      <c r="V21" s="6" t="s">
        <v>60</v>
      </c>
      <c r="W21" s="6">
        <v>284</v>
      </c>
      <c r="X21" s="6">
        <v>268.8</v>
      </c>
      <c r="Y21" s="6">
        <f>AVERAGE(Table5[[#This Row],[23 Pts]:[25 Proj]])</f>
        <v>212.9666666666667</v>
      </c>
      <c r="Z21" s="49">
        <f>Table5[[#This Row],[Avg]]/17</f>
        <v>12.527450980392159</v>
      </c>
      <c r="AA21" s="4" t="s">
        <v>429</v>
      </c>
      <c r="AB21" s="5">
        <v>191</v>
      </c>
      <c r="AC21" s="5">
        <v>16</v>
      </c>
      <c r="AE21" s="5">
        <v>16</v>
      </c>
      <c r="AF21" s="5">
        <v>190</v>
      </c>
      <c r="AG21" s="5" t="s">
        <v>30</v>
      </c>
      <c r="AH21" s="4" t="s">
        <v>31</v>
      </c>
      <c r="AI21" s="4" t="s">
        <v>24</v>
      </c>
      <c r="AJ21" s="6">
        <v>246.3</v>
      </c>
      <c r="AK21" s="6">
        <v>341.7</v>
      </c>
      <c r="AL21" s="6">
        <v>297.7</v>
      </c>
      <c r="AM21" s="6">
        <f>AVERAGE(Table5[[#This Row],[23 Pts]:[25 Proj]])</f>
        <v>212.9666666666667</v>
      </c>
      <c r="AN21" s="49">
        <f>Table5[[#This Row],[Avg]]/17</f>
        <v>12.527450980392159</v>
      </c>
      <c r="AO21" s="4" t="s">
        <v>428</v>
      </c>
      <c r="AP21" s="5">
        <v>190</v>
      </c>
      <c r="AQ21" s="5">
        <v>16</v>
      </c>
      <c r="AS21" s="5">
        <v>16</v>
      </c>
      <c r="AT21" s="5">
        <v>189</v>
      </c>
      <c r="AU21" s="5" t="s">
        <v>25</v>
      </c>
      <c r="AV21" s="4" t="s">
        <v>23</v>
      </c>
      <c r="AW21" s="4" t="s">
        <v>10</v>
      </c>
      <c r="AX21" s="6">
        <v>338.22</v>
      </c>
      <c r="AY21" s="6">
        <v>434.38</v>
      </c>
      <c r="AZ21" s="6">
        <v>351.21</v>
      </c>
      <c r="BA21" s="6">
        <f>AVERAGE(Table5[[#This Row],[23 Pts]:[25 Proj]])</f>
        <v>212.9666666666667</v>
      </c>
      <c r="BB21" s="49">
        <f>Table5[[#This Row],[Avg]]/17</f>
        <v>12.527450980392159</v>
      </c>
      <c r="BC21" s="4" t="s">
        <v>147</v>
      </c>
      <c r="BD21" s="5">
        <v>189</v>
      </c>
      <c r="BE21" s="5">
        <v>16</v>
      </c>
    </row>
    <row r="22" spans="3:57" s="9" customFormat="1" hidden="1" x14ac:dyDescent="0.35">
      <c r="C22" s="28"/>
      <c r="D22" s="28">
        <f>AVERAGE(D6:D21)</f>
        <v>96.5</v>
      </c>
      <c r="E22" s="28"/>
      <c r="F22" s="29"/>
      <c r="G22" s="29"/>
      <c r="H22" s="30">
        <f>SUM(H6:H21)</f>
        <v>2660.4400000000005</v>
      </c>
      <c r="I22" s="30">
        <f t="shared" ref="I22:K22" si="0">SUM(I6:I21)</f>
        <v>3111.2799999999997</v>
      </c>
      <c r="J22" s="30">
        <f t="shared" si="0"/>
        <v>3040.93</v>
      </c>
      <c r="K22" s="30">
        <f t="shared" si="0"/>
        <v>3199.1433333333339</v>
      </c>
      <c r="L22" s="29"/>
      <c r="M22" s="28"/>
      <c r="N22" s="28"/>
      <c r="O22" s="28"/>
      <c r="Q22" s="28"/>
      <c r="R22" s="28">
        <f>AVERAGE(R6:R21)</f>
        <v>96.5</v>
      </c>
      <c r="S22" s="28"/>
      <c r="T22" s="29"/>
      <c r="U22" s="29"/>
      <c r="V22" s="30">
        <f>SUM(V6:V21)</f>
        <v>822.1</v>
      </c>
      <c r="W22" s="30">
        <f t="shared" ref="W22:Y22" si="1">SUM(W6:W21)</f>
        <v>1914.6</v>
      </c>
      <c r="X22" s="30">
        <f t="shared" si="1"/>
        <v>2925.98</v>
      </c>
      <c r="Y22" s="30">
        <f t="shared" si="1"/>
        <v>3199.1433333333339</v>
      </c>
      <c r="Z22" s="29"/>
      <c r="AA22" s="28"/>
      <c r="AB22" s="28"/>
      <c r="AC22" s="28"/>
      <c r="AE22" s="28"/>
      <c r="AF22" s="28">
        <f>AVERAGE(AF6:AF21)</f>
        <v>96.5</v>
      </c>
      <c r="AG22" s="28"/>
      <c r="AH22" s="29"/>
      <c r="AI22" s="29"/>
      <c r="AJ22" s="30">
        <f>SUM(AJ6:AJ21)</f>
        <v>3134.3399999999997</v>
      </c>
      <c r="AK22" s="30">
        <f t="shared" ref="AK22:AM22" si="2">SUM(AK6:AK21)</f>
        <v>3083.18</v>
      </c>
      <c r="AL22" s="30">
        <f t="shared" si="2"/>
        <v>3238.6199999999994</v>
      </c>
      <c r="AM22" s="30">
        <f t="shared" si="2"/>
        <v>3199.1433333333339</v>
      </c>
      <c r="AN22" s="29"/>
      <c r="AO22" s="28"/>
      <c r="AP22" s="28"/>
      <c r="AQ22" s="28"/>
      <c r="AS22" s="28"/>
      <c r="AT22" s="28">
        <f>AVERAGE(AT6:AT21)</f>
        <v>96.5</v>
      </c>
      <c r="AU22" s="28"/>
      <c r="AV22" s="29"/>
      <c r="AW22" s="29"/>
      <c r="AX22" s="30">
        <f>SUM(AX6:AX21)</f>
        <v>2168.08</v>
      </c>
      <c r="AY22" s="30">
        <f t="shared" ref="AY22:BA22" si="3">SUM(AY6:AY21)</f>
        <v>3062.4000000000005</v>
      </c>
      <c r="AZ22" s="30">
        <f t="shared" si="3"/>
        <v>2929.6400000000003</v>
      </c>
      <c r="BA22" s="30">
        <f t="shared" si="3"/>
        <v>3199.1433333333339</v>
      </c>
      <c r="BB22" s="29"/>
      <c r="BC22" s="28"/>
      <c r="BD22" s="28"/>
      <c r="BE22" s="28"/>
    </row>
    <row r="23" spans="3:57" ht="16" x14ac:dyDescent="0.4">
      <c r="C23" s="50" t="s">
        <v>427</v>
      </c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Q23" s="50" t="s">
        <v>146</v>
      </c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E23" s="50" t="s">
        <v>158</v>
      </c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S23" s="50" t="s">
        <v>145</v>
      </c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</row>
    <row r="24" spans="3:57" x14ac:dyDescent="0.35">
      <c r="C24" s="5">
        <v>1</v>
      </c>
      <c r="D24" s="5">
        <v>5</v>
      </c>
      <c r="E24" s="5" t="s">
        <v>11</v>
      </c>
      <c r="F24" s="4" t="s">
        <v>12</v>
      </c>
      <c r="G24" s="4" t="s">
        <v>24</v>
      </c>
      <c r="H24" s="6">
        <v>391.3</v>
      </c>
      <c r="I24" s="6">
        <v>47.8</v>
      </c>
      <c r="J24" s="6">
        <v>270</v>
      </c>
      <c r="K24" s="6">
        <f>AVERAGE(Table5[[#This Row],[23 Pts]:[25 Proj]])</f>
        <v>253.15333333333334</v>
      </c>
      <c r="L24" s="49">
        <f>Table5[[#This Row],[Avg]]/17</f>
        <v>14.891372549019607</v>
      </c>
      <c r="M24" s="4" t="s">
        <v>427</v>
      </c>
      <c r="N24" s="5">
        <v>5</v>
      </c>
      <c r="O24" s="5">
        <v>1</v>
      </c>
      <c r="Q24" s="5">
        <v>1</v>
      </c>
      <c r="R24" s="5">
        <v>6</v>
      </c>
      <c r="S24" s="5" t="s">
        <v>32</v>
      </c>
      <c r="T24" s="4" t="s">
        <v>18</v>
      </c>
      <c r="U24" s="4" t="s">
        <v>35</v>
      </c>
      <c r="V24" s="6">
        <v>289.60000000000002</v>
      </c>
      <c r="W24" s="6">
        <v>216.9</v>
      </c>
      <c r="X24" s="6">
        <v>243.7</v>
      </c>
      <c r="Y24" s="6">
        <f>AVERAGE(Table5[[#This Row],[23 Pts]:[25 Proj]])</f>
        <v>253.15333333333334</v>
      </c>
      <c r="Z24" s="49">
        <f>Table5[[#This Row],[Avg]]/17</f>
        <v>14.891372549019607</v>
      </c>
      <c r="AA24" s="4" t="s">
        <v>146</v>
      </c>
      <c r="AB24" s="5">
        <v>6</v>
      </c>
      <c r="AC24" s="5">
        <v>1</v>
      </c>
      <c r="AE24" s="5">
        <v>1</v>
      </c>
      <c r="AF24" s="5">
        <v>7</v>
      </c>
      <c r="AG24" s="5" t="s">
        <v>177</v>
      </c>
      <c r="AH24" s="4" t="s">
        <v>65</v>
      </c>
      <c r="AI24" s="4" t="s">
        <v>24</v>
      </c>
      <c r="AJ24" s="6" t="s">
        <v>60</v>
      </c>
      <c r="AK24" s="6" t="s">
        <v>60</v>
      </c>
      <c r="AL24" s="6">
        <v>256.39999999999998</v>
      </c>
      <c r="AM24" s="6">
        <f>AVERAGE(Table5[[#This Row],[23 Pts]:[25 Proj]])</f>
        <v>253.15333333333334</v>
      </c>
      <c r="AN24" s="49">
        <f>Table5[[#This Row],[Avg]]/17</f>
        <v>14.891372549019607</v>
      </c>
      <c r="AO24" s="4" t="s">
        <v>158</v>
      </c>
      <c r="AP24" s="5">
        <v>7</v>
      </c>
      <c r="AQ24" s="5">
        <v>1</v>
      </c>
      <c r="AS24" s="5">
        <v>1</v>
      </c>
      <c r="AT24" s="5">
        <v>8</v>
      </c>
      <c r="AU24" s="5" t="s">
        <v>135</v>
      </c>
      <c r="AV24" s="4" t="s">
        <v>42</v>
      </c>
      <c r="AW24" s="4" t="s">
        <v>24</v>
      </c>
      <c r="AX24" s="6" t="s">
        <v>60</v>
      </c>
      <c r="AY24" s="6">
        <v>244.4</v>
      </c>
      <c r="AZ24" s="6">
        <v>249.9</v>
      </c>
      <c r="BA24" s="6">
        <f>AVERAGE(Table5[[#This Row],[23 Pts]:[25 Proj]])</f>
        <v>253.15333333333334</v>
      </c>
      <c r="BB24" s="49">
        <f>Table5[[#This Row],[Avg]]/17</f>
        <v>14.891372549019607</v>
      </c>
      <c r="BC24" s="4" t="s">
        <v>145</v>
      </c>
      <c r="BD24" s="5">
        <v>8</v>
      </c>
      <c r="BE24" s="5">
        <v>1</v>
      </c>
    </row>
    <row r="25" spans="3:57" x14ac:dyDescent="0.35">
      <c r="C25" s="5">
        <v>2</v>
      </c>
      <c r="D25" s="5">
        <v>20</v>
      </c>
      <c r="E25" s="5" t="s">
        <v>71</v>
      </c>
      <c r="F25" s="4" t="s">
        <v>62</v>
      </c>
      <c r="G25" s="4" t="s">
        <v>24</v>
      </c>
      <c r="H25" s="6">
        <v>233</v>
      </c>
      <c r="I25" s="6">
        <v>265.3</v>
      </c>
      <c r="J25" s="6">
        <v>215.8</v>
      </c>
      <c r="K25" s="6">
        <f>AVERAGE(Table5[[#This Row],[23 Pts]:[25 Proj]])</f>
        <v>189.8066666666667</v>
      </c>
      <c r="L25" s="49">
        <f>Table5[[#This Row],[Avg]]/17</f>
        <v>11.165098039215689</v>
      </c>
      <c r="M25" s="4" t="s">
        <v>427</v>
      </c>
      <c r="N25" s="5">
        <v>20</v>
      </c>
      <c r="O25" s="5">
        <v>2</v>
      </c>
      <c r="Q25" s="5">
        <v>2</v>
      </c>
      <c r="R25" s="5">
        <v>19</v>
      </c>
      <c r="S25" s="5" t="s">
        <v>346</v>
      </c>
      <c r="T25" s="4" t="s">
        <v>85</v>
      </c>
      <c r="U25" s="4" t="s">
        <v>35</v>
      </c>
      <c r="V25" s="6">
        <v>149.80000000000001</v>
      </c>
      <c r="W25" s="6">
        <v>253</v>
      </c>
      <c r="X25" s="6">
        <v>217.1</v>
      </c>
      <c r="Y25" s="6">
        <f>AVERAGE(Table5[[#This Row],[23 Pts]:[25 Proj]])</f>
        <v>189.8066666666667</v>
      </c>
      <c r="Z25" s="49">
        <f>Table5[[#This Row],[Avg]]/17</f>
        <v>11.165098039215689</v>
      </c>
      <c r="AA25" s="4" t="s">
        <v>146</v>
      </c>
      <c r="AB25" s="5">
        <v>19</v>
      </c>
      <c r="AC25" s="5">
        <v>2</v>
      </c>
      <c r="AE25" s="5">
        <v>2</v>
      </c>
      <c r="AF25" s="5">
        <v>18</v>
      </c>
      <c r="AG25" s="5" t="s">
        <v>45</v>
      </c>
      <c r="AH25" s="4" t="s">
        <v>46</v>
      </c>
      <c r="AI25" s="4" t="s">
        <v>424</v>
      </c>
      <c r="AJ25" s="6">
        <v>181.5</v>
      </c>
      <c r="AK25" s="6">
        <v>249.8</v>
      </c>
      <c r="AL25" s="6">
        <v>241.4</v>
      </c>
      <c r="AM25" s="6">
        <f>AVERAGE(Table5[[#This Row],[23 Pts]:[25 Proj]])</f>
        <v>189.8066666666667</v>
      </c>
      <c r="AN25" s="49">
        <f>Table5[[#This Row],[Avg]]/17</f>
        <v>11.165098039215689</v>
      </c>
      <c r="AO25" s="4" t="s">
        <v>158</v>
      </c>
      <c r="AP25" s="5">
        <v>18</v>
      </c>
      <c r="AQ25" s="5">
        <v>2</v>
      </c>
      <c r="AS25" s="5">
        <v>2</v>
      </c>
      <c r="AT25" s="5">
        <v>17</v>
      </c>
      <c r="AU25" s="5" t="s">
        <v>178</v>
      </c>
      <c r="AV25" s="4" t="s">
        <v>79</v>
      </c>
      <c r="AW25" s="4" t="s">
        <v>24</v>
      </c>
      <c r="AX25" s="6" t="s">
        <v>60</v>
      </c>
      <c r="AY25" s="6" t="s">
        <v>60</v>
      </c>
      <c r="AZ25" s="6">
        <v>216.4</v>
      </c>
      <c r="BA25" s="6">
        <f>AVERAGE(Table5[[#This Row],[23 Pts]:[25 Proj]])</f>
        <v>189.8066666666667</v>
      </c>
      <c r="BB25" s="49">
        <f>Table5[[#This Row],[Avg]]/17</f>
        <v>11.165098039215689</v>
      </c>
      <c r="BC25" s="4" t="s">
        <v>145</v>
      </c>
      <c r="BD25" s="5">
        <v>17</v>
      </c>
      <c r="BE25" s="5">
        <v>2</v>
      </c>
    </row>
    <row r="26" spans="3:57" x14ac:dyDescent="0.35">
      <c r="C26" s="5">
        <v>3</v>
      </c>
      <c r="D26" s="5">
        <v>29</v>
      </c>
      <c r="E26" s="5" t="s">
        <v>266</v>
      </c>
      <c r="F26" s="4" t="s">
        <v>21</v>
      </c>
      <c r="G26" s="4" t="s">
        <v>35</v>
      </c>
      <c r="H26" s="6">
        <v>376.4</v>
      </c>
      <c r="I26" s="6">
        <v>218.2</v>
      </c>
      <c r="J26" s="6">
        <v>243.7</v>
      </c>
      <c r="K26" s="6">
        <f>AVERAGE(Table5[[#This Row],[23 Pts]:[25 Proj]])</f>
        <v>151.70000000000002</v>
      </c>
      <c r="L26" s="49">
        <f>Table5[[#This Row],[Avg]]/17</f>
        <v>8.9235294117647062</v>
      </c>
      <c r="M26" s="4" t="s">
        <v>427</v>
      </c>
      <c r="N26" s="5">
        <v>29</v>
      </c>
      <c r="O26" s="5">
        <v>3</v>
      </c>
      <c r="Q26" s="5">
        <v>3</v>
      </c>
      <c r="R26" s="5">
        <v>30</v>
      </c>
      <c r="S26" s="5" t="s">
        <v>90</v>
      </c>
      <c r="T26" s="4" t="s">
        <v>85</v>
      </c>
      <c r="U26" s="4" t="s">
        <v>24</v>
      </c>
      <c r="V26" s="6">
        <v>199.4</v>
      </c>
      <c r="W26" s="6">
        <v>181.2</v>
      </c>
      <c r="X26" s="6">
        <v>180.2</v>
      </c>
      <c r="Y26" s="6">
        <f>AVERAGE(Table5[[#This Row],[23 Pts]:[25 Proj]])</f>
        <v>151.70000000000002</v>
      </c>
      <c r="Z26" s="49">
        <f>Table5[[#This Row],[Avg]]/17</f>
        <v>8.9235294117647062</v>
      </c>
      <c r="AA26" s="4" t="s">
        <v>146</v>
      </c>
      <c r="AB26" s="5">
        <v>30</v>
      </c>
      <c r="AC26" s="5">
        <v>3</v>
      </c>
      <c r="AE26" s="5">
        <v>3</v>
      </c>
      <c r="AF26" s="5">
        <v>31</v>
      </c>
      <c r="AG26" s="5" t="s">
        <v>180</v>
      </c>
      <c r="AH26" s="4" t="s">
        <v>83</v>
      </c>
      <c r="AI26" s="4" t="s">
        <v>24</v>
      </c>
      <c r="AJ26" s="6" t="s">
        <v>60</v>
      </c>
      <c r="AK26" s="6" t="s">
        <v>60</v>
      </c>
      <c r="AL26" s="6">
        <v>181.5</v>
      </c>
      <c r="AM26" s="6">
        <f>AVERAGE(Table5[[#This Row],[23 Pts]:[25 Proj]])</f>
        <v>151.70000000000002</v>
      </c>
      <c r="AN26" s="49">
        <f>Table5[[#This Row],[Avg]]/17</f>
        <v>8.9235294117647062</v>
      </c>
      <c r="AO26" s="4" t="s">
        <v>158</v>
      </c>
      <c r="AP26" s="5">
        <v>31</v>
      </c>
      <c r="AQ26" s="5">
        <v>3</v>
      </c>
      <c r="AS26" s="5">
        <v>3</v>
      </c>
      <c r="AT26" s="5">
        <v>32</v>
      </c>
      <c r="AU26" s="5" t="s">
        <v>95</v>
      </c>
      <c r="AV26" s="4" t="s">
        <v>46</v>
      </c>
      <c r="AW26" s="4" t="s">
        <v>24</v>
      </c>
      <c r="AX26" s="6">
        <v>201.5</v>
      </c>
      <c r="AY26" s="6">
        <v>253.8</v>
      </c>
      <c r="AZ26" s="6">
        <v>211</v>
      </c>
      <c r="BA26" s="6">
        <f>AVERAGE(Table5[[#This Row],[23 Pts]:[25 Proj]])</f>
        <v>151.70000000000002</v>
      </c>
      <c r="BB26" s="49">
        <f>Table5[[#This Row],[Avg]]/17</f>
        <v>8.9235294117647062</v>
      </c>
      <c r="BC26" s="4" t="s">
        <v>145</v>
      </c>
      <c r="BD26" s="5">
        <v>32</v>
      </c>
      <c r="BE26" s="5">
        <v>3</v>
      </c>
    </row>
    <row r="27" spans="3:57" x14ac:dyDescent="0.35">
      <c r="C27" s="5">
        <v>4</v>
      </c>
      <c r="D27" s="5">
        <v>44</v>
      </c>
      <c r="E27" s="5" t="s">
        <v>353</v>
      </c>
      <c r="F27" s="4" t="s">
        <v>104</v>
      </c>
      <c r="G27" s="4" t="s">
        <v>35</v>
      </c>
      <c r="H27" s="6" t="s">
        <v>60</v>
      </c>
      <c r="I27" s="6" t="s">
        <v>60</v>
      </c>
      <c r="J27" s="6">
        <v>201</v>
      </c>
      <c r="K27" s="6">
        <f>AVERAGE(Table5[[#This Row],[23 Pts]:[25 Proj]])</f>
        <v>216.15333333333334</v>
      </c>
      <c r="L27" s="49">
        <f>Table5[[#This Row],[Avg]]/17</f>
        <v>12.714901960784314</v>
      </c>
      <c r="M27" s="4" t="s">
        <v>427</v>
      </c>
      <c r="N27" s="5">
        <v>44</v>
      </c>
      <c r="O27" s="5">
        <v>4</v>
      </c>
      <c r="Q27" s="5">
        <v>4</v>
      </c>
      <c r="R27" s="5">
        <v>43</v>
      </c>
      <c r="S27" s="5" t="s">
        <v>352</v>
      </c>
      <c r="T27" s="4" t="s">
        <v>14</v>
      </c>
      <c r="U27" s="4" t="s">
        <v>35</v>
      </c>
      <c r="V27" s="6">
        <v>208.8</v>
      </c>
      <c r="W27" s="6">
        <v>164.4</v>
      </c>
      <c r="X27" s="6">
        <v>202.4</v>
      </c>
      <c r="Y27" s="6">
        <f>AVERAGE(Table5[[#This Row],[23 Pts]:[25 Proj]])</f>
        <v>216.15333333333334</v>
      </c>
      <c r="Z27" s="49">
        <f>Table5[[#This Row],[Avg]]/17</f>
        <v>12.714901960784314</v>
      </c>
      <c r="AA27" s="4" t="s">
        <v>146</v>
      </c>
      <c r="AB27" s="5">
        <v>43</v>
      </c>
      <c r="AC27" s="5">
        <v>4</v>
      </c>
      <c r="AE27" s="5">
        <v>4</v>
      </c>
      <c r="AF27" s="5">
        <v>42</v>
      </c>
      <c r="AG27" s="5" t="s">
        <v>349</v>
      </c>
      <c r="AH27" s="4" t="s">
        <v>94</v>
      </c>
      <c r="AI27" s="4" t="s">
        <v>35</v>
      </c>
      <c r="AJ27" s="6">
        <v>190.2</v>
      </c>
      <c r="AK27" s="6">
        <v>240.3</v>
      </c>
      <c r="AL27" s="6">
        <v>208.5</v>
      </c>
      <c r="AM27" s="6">
        <f>AVERAGE(Table5[[#This Row],[23 Pts]:[25 Proj]])</f>
        <v>216.15333333333334</v>
      </c>
      <c r="AN27" s="49">
        <f>Table5[[#This Row],[Avg]]/17</f>
        <v>12.714901960784314</v>
      </c>
      <c r="AO27" s="4" t="s">
        <v>158</v>
      </c>
      <c r="AP27" s="5">
        <v>42</v>
      </c>
      <c r="AQ27" s="5">
        <v>4</v>
      </c>
      <c r="AS27" s="5">
        <v>4</v>
      </c>
      <c r="AT27" s="5">
        <v>41</v>
      </c>
      <c r="AU27" s="5" t="s">
        <v>350</v>
      </c>
      <c r="AV27" s="4" t="s">
        <v>22</v>
      </c>
      <c r="AW27" s="4" t="s">
        <v>35</v>
      </c>
      <c r="AX27" s="6" t="s">
        <v>60</v>
      </c>
      <c r="AY27" s="6">
        <v>187.2</v>
      </c>
      <c r="AZ27" s="6">
        <v>207.2</v>
      </c>
      <c r="BA27" s="6">
        <f>AVERAGE(Table5[[#This Row],[23 Pts]:[25 Proj]])</f>
        <v>216.15333333333334</v>
      </c>
      <c r="BB27" s="49">
        <f>Table5[[#This Row],[Avg]]/17</f>
        <v>12.714901960784314</v>
      </c>
      <c r="BC27" s="4" t="s">
        <v>145</v>
      </c>
      <c r="BD27" s="5">
        <v>41</v>
      </c>
      <c r="BE27" s="5">
        <v>4</v>
      </c>
    </row>
    <row r="28" spans="3:57" x14ac:dyDescent="0.35">
      <c r="C28" s="5">
        <v>5</v>
      </c>
      <c r="D28" s="5">
        <v>53</v>
      </c>
      <c r="E28" s="5" t="s">
        <v>99</v>
      </c>
      <c r="F28" s="4" t="s">
        <v>55</v>
      </c>
      <c r="G28" s="4" t="s">
        <v>24</v>
      </c>
      <c r="H28" s="6">
        <v>199.3</v>
      </c>
      <c r="I28" s="6">
        <v>214.5</v>
      </c>
      <c r="J28" s="6">
        <v>178.5</v>
      </c>
      <c r="K28" s="6">
        <f>AVERAGE(Table5[[#This Row],[23 Pts]:[25 Proj]])</f>
        <v>118.85</v>
      </c>
      <c r="L28" s="49">
        <f>Table5[[#This Row],[Avg]]/17</f>
        <v>6.9911764705882353</v>
      </c>
      <c r="M28" s="4" t="s">
        <v>427</v>
      </c>
      <c r="N28" s="5">
        <v>53</v>
      </c>
      <c r="O28" s="5">
        <v>5</v>
      </c>
      <c r="Q28" s="5">
        <v>5</v>
      </c>
      <c r="R28" s="5">
        <v>54</v>
      </c>
      <c r="S28" s="5" t="s">
        <v>53</v>
      </c>
      <c r="T28" s="4" t="s">
        <v>12</v>
      </c>
      <c r="U28" s="4" t="s">
        <v>10</v>
      </c>
      <c r="V28" s="6">
        <v>306.60000000000002</v>
      </c>
      <c r="W28" s="6">
        <v>278.86</v>
      </c>
      <c r="X28" s="6">
        <v>303.23</v>
      </c>
      <c r="Y28" s="6">
        <f>AVERAGE(Table5[[#This Row],[23 Pts]:[25 Proj]])</f>
        <v>118.85</v>
      </c>
      <c r="Z28" s="49">
        <f>Table5[[#This Row],[Avg]]/17</f>
        <v>6.9911764705882353</v>
      </c>
      <c r="AA28" s="4" t="s">
        <v>146</v>
      </c>
      <c r="AB28" s="5">
        <v>54</v>
      </c>
      <c r="AC28" s="5">
        <v>5</v>
      </c>
      <c r="AE28" s="5">
        <v>5</v>
      </c>
      <c r="AF28" s="5">
        <v>55</v>
      </c>
      <c r="AG28" s="5" t="s">
        <v>93</v>
      </c>
      <c r="AH28" s="4" t="s">
        <v>94</v>
      </c>
      <c r="AI28" s="4" t="s">
        <v>10</v>
      </c>
      <c r="AJ28" s="6" t="s">
        <v>60</v>
      </c>
      <c r="AK28" s="6">
        <v>329.2</v>
      </c>
      <c r="AL28" s="6">
        <v>308.69</v>
      </c>
      <c r="AM28" s="6">
        <f>AVERAGE(Table5[[#This Row],[23 Pts]:[25 Proj]])</f>
        <v>118.85</v>
      </c>
      <c r="AN28" s="49">
        <f>Table5[[#This Row],[Avg]]/17</f>
        <v>6.9911764705882353</v>
      </c>
      <c r="AO28" s="4" t="s">
        <v>158</v>
      </c>
      <c r="AP28" s="5">
        <v>55</v>
      </c>
      <c r="AQ28" s="5">
        <v>5</v>
      </c>
      <c r="AS28" s="5">
        <v>5</v>
      </c>
      <c r="AT28" s="5">
        <v>56</v>
      </c>
      <c r="AU28" s="5" t="s">
        <v>235</v>
      </c>
      <c r="AV28" s="4" t="s">
        <v>40</v>
      </c>
      <c r="AW28" s="4" t="s">
        <v>424</v>
      </c>
      <c r="AX28" s="6">
        <v>78.5</v>
      </c>
      <c r="AY28" s="6">
        <v>163.30000000000001</v>
      </c>
      <c r="AZ28" s="6">
        <v>137.6</v>
      </c>
      <c r="BA28" s="6">
        <f>AVERAGE(Table5[[#This Row],[23 Pts]:[25 Proj]])</f>
        <v>118.85</v>
      </c>
      <c r="BB28" s="49">
        <f>Table5[[#This Row],[Avg]]/17</f>
        <v>6.9911764705882353</v>
      </c>
      <c r="BC28" s="4" t="s">
        <v>145</v>
      </c>
      <c r="BD28" s="5">
        <v>56</v>
      </c>
      <c r="BE28" s="5">
        <v>5</v>
      </c>
    </row>
    <row r="29" spans="3:57" x14ac:dyDescent="0.35">
      <c r="C29" s="5">
        <v>6</v>
      </c>
      <c r="D29" s="5">
        <v>68</v>
      </c>
      <c r="E29" s="5" t="s">
        <v>354</v>
      </c>
      <c r="F29" s="4" t="s">
        <v>22</v>
      </c>
      <c r="G29" s="4" t="s">
        <v>35</v>
      </c>
      <c r="H29" s="6">
        <v>212.5</v>
      </c>
      <c r="I29" s="6">
        <v>64.900000000000006</v>
      </c>
      <c r="J29" s="6">
        <v>200.1</v>
      </c>
      <c r="K29" s="6">
        <f>AVERAGE(Table5[[#This Row],[23 Pts]:[25 Proj]])</f>
        <v>132.56666666666669</v>
      </c>
      <c r="L29" s="49">
        <f>Table5[[#This Row],[Avg]]/17</f>
        <v>7.7980392156862761</v>
      </c>
      <c r="M29" s="4" t="s">
        <v>427</v>
      </c>
      <c r="N29" s="5">
        <v>68</v>
      </c>
      <c r="O29" s="5">
        <v>6</v>
      </c>
      <c r="Q29" s="5">
        <v>6</v>
      </c>
      <c r="R29" s="5">
        <v>67</v>
      </c>
      <c r="S29" s="5" t="s">
        <v>362</v>
      </c>
      <c r="T29" s="4" t="s">
        <v>65</v>
      </c>
      <c r="U29" s="4" t="s">
        <v>35</v>
      </c>
      <c r="V29" s="6">
        <v>218.58</v>
      </c>
      <c r="W29" s="6">
        <v>218</v>
      </c>
      <c r="X29" s="6">
        <v>189.66</v>
      </c>
      <c r="Y29" s="6">
        <f>AVERAGE(Table5[[#This Row],[23 Pts]:[25 Proj]])</f>
        <v>132.56666666666669</v>
      </c>
      <c r="Z29" s="49">
        <f>Table5[[#This Row],[Avg]]/17</f>
        <v>7.7980392156862761</v>
      </c>
      <c r="AA29" s="4" t="s">
        <v>146</v>
      </c>
      <c r="AB29" s="5">
        <v>67</v>
      </c>
      <c r="AC29" s="5">
        <v>6</v>
      </c>
      <c r="AE29" s="5">
        <v>6</v>
      </c>
      <c r="AF29" s="5">
        <v>66</v>
      </c>
      <c r="AG29" s="5" t="s">
        <v>375</v>
      </c>
      <c r="AH29" s="4" t="s">
        <v>73</v>
      </c>
      <c r="AI29" s="4" t="s">
        <v>35</v>
      </c>
      <c r="AJ29" s="6">
        <v>157.1</v>
      </c>
      <c r="AK29" s="6">
        <v>183.5</v>
      </c>
      <c r="AL29" s="6">
        <v>169.6</v>
      </c>
      <c r="AM29" s="6">
        <f>AVERAGE(Table5[[#This Row],[23 Pts]:[25 Proj]])</f>
        <v>132.56666666666669</v>
      </c>
      <c r="AN29" s="49">
        <f>Table5[[#This Row],[Avg]]/17</f>
        <v>7.7980392156862761</v>
      </c>
      <c r="AO29" s="4" t="s">
        <v>158</v>
      </c>
      <c r="AP29" s="5">
        <v>66</v>
      </c>
      <c r="AQ29" s="5">
        <v>6</v>
      </c>
      <c r="AS29" s="5">
        <v>6</v>
      </c>
      <c r="AT29" s="5">
        <v>65</v>
      </c>
      <c r="AU29" s="5" t="s">
        <v>379</v>
      </c>
      <c r="AV29" s="4" t="s">
        <v>42</v>
      </c>
      <c r="AW29" s="4" t="s">
        <v>35</v>
      </c>
      <c r="AX29" s="6" t="s">
        <v>60</v>
      </c>
      <c r="AY29" s="6" t="s">
        <v>60</v>
      </c>
      <c r="AZ29" s="6">
        <v>155.69999999999999</v>
      </c>
      <c r="BA29" s="6">
        <f>AVERAGE(Table5[[#This Row],[23 Pts]:[25 Proj]])</f>
        <v>132.56666666666669</v>
      </c>
      <c r="BB29" s="49">
        <f>Table5[[#This Row],[Avg]]/17</f>
        <v>7.7980392156862761</v>
      </c>
      <c r="BC29" s="4" t="s">
        <v>145</v>
      </c>
      <c r="BD29" s="5">
        <v>65</v>
      </c>
      <c r="BE29" s="5">
        <v>6</v>
      </c>
    </row>
    <row r="30" spans="3:57" x14ac:dyDescent="0.35">
      <c r="C30" s="5">
        <v>7</v>
      </c>
      <c r="D30" s="5">
        <v>77</v>
      </c>
      <c r="E30" s="5" t="s">
        <v>229</v>
      </c>
      <c r="F30" s="4" t="s">
        <v>34</v>
      </c>
      <c r="G30" s="4" t="s">
        <v>424</v>
      </c>
      <c r="H30" s="6">
        <v>201.2</v>
      </c>
      <c r="I30" s="6">
        <v>148.5</v>
      </c>
      <c r="J30" s="6">
        <v>152.1</v>
      </c>
      <c r="K30" s="6">
        <f>AVERAGE(Table5[[#This Row],[23 Pts]:[25 Proj]])</f>
        <v>136.26666666666665</v>
      </c>
      <c r="L30" s="49">
        <f>Table5[[#This Row],[Avg]]/17</f>
        <v>8.0156862745098039</v>
      </c>
      <c r="M30" s="4" t="s">
        <v>427</v>
      </c>
      <c r="N30" s="5">
        <v>77</v>
      </c>
      <c r="O30" s="5">
        <v>7</v>
      </c>
      <c r="Q30" s="5">
        <v>7</v>
      </c>
      <c r="R30" s="5">
        <v>78</v>
      </c>
      <c r="S30" s="5" t="s">
        <v>239</v>
      </c>
      <c r="T30" s="4" t="s">
        <v>59</v>
      </c>
      <c r="U30" s="4" t="s">
        <v>424</v>
      </c>
      <c r="V30" s="6">
        <v>51.7</v>
      </c>
      <c r="W30" s="6">
        <v>177.4</v>
      </c>
      <c r="X30" s="6">
        <v>123.9</v>
      </c>
      <c r="Y30" s="6">
        <f>AVERAGE(Table5[[#This Row],[23 Pts]:[25 Proj]])</f>
        <v>136.26666666666665</v>
      </c>
      <c r="Z30" s="49">
        <f>Table5[[#This Row],[Avg]]/17</f>
        <v>8.0156862745098039</v>
      </c>
      <c r="AA30" s="4" t="s">
        <v>146</v>
      </c>
      <c r="AB30" s="5">
        <v>78</v>
      </c>
      <c r="AC30" s="5">
        <v>7</v>
      </c>
      <c r="AE30" s="5">
        <v>7</v>
      </c>
      <c r="AF30" s="5">
        <v>79</v>
      </c>
      <c r="AG30" s="5" t="s">
        <v>365</v>
      </c>
      <c r="AH30" s="4" t="s">
        <v>62</v>
      </c>
      <c r="AI30" s="4" t="s">
        <v>35</v>
      </c>
      <c r="AJ30" s="6">
        <v>231.3</v>
      </c>
      <c r="AK30" s="6">
        <v>76.7</v>
      </c>
      <c r="AL30" s="6">
        <v>180.6</v>
      </c>
      <c r="AM30" s="6">
        <f>AVERAGE(Table5[[#This Row],[23 Pts]:[25 Proj]])</f>
        <v>136.26666666666665</v>
      </c>
      <c r="AN30" s="49">
        <f>Table5[[#This Row],[Avg]]/17</f>
        <v>8.0156862745098039</v>
      </c>
      <c r="AO30" s="4" t="s">
        <v>158</v>
      </c>
      <c r="AP30" s="5">
        <v>79</v>
      </c>
      <c r="AQ30" s="5">
        <v>7</v>
      </c>
      <c r="AS30" s="5">
        <v>7</v>
      </c>
      <c r="AT30" s="5">
        <v>80</v>
      </c>
      <c r="AU30" s="5" t="s">
        <v>96</v>
      </c>
      <c r="AV30" s="4" t="s">
        <v>46</v>
      </c>
      <c r="AW30" s="4" t="s">
        <v>10</v>
      </c>
      <c r="AX30" s="6">
        <v>151.36000000000001</v>
      </c>
      <c r="AY30" s="6">
        <v>308.24</v>
      </c>
      <c r="AZ30" s="6">
        <v>293.41000000000003</v>
      </c>
      <c r="BA30" s="6">
        <f>AVERAGE(Table5[[#This Row],[23 Pts]:[25 Proj]])</f>
        <v>136.26666666666665</v>
      </c>
      <c r="BB30" s="49">
        <f>Table5[[#This Row],[Avg]]/17</f>
        <v>8.0156862745098039</v>
      </c>
      <c r="BC30" s="4" t="s">
        <v>145</v>
      </c>
      <c r="BD30" s="5">
        <v>80</v>
      </c>
      <c r="BE30" s="5">
        <v>7</v>
      </c>
    </row>
    <row r="31" spans="3:57" x14ac:dyDescent="0.35">
      <c r="C31" s="5">
        <v>8</v>
      </c>
      <c r="D31" s="5">
        <v>92</v>
      </c>
      <c r="E31" s="5" t="s">
        <v>78</v>
      </c>
      <c r="F31" s="4" t="s">
        <v>79</v>
      </c>
      <c r="G31" s="4" t="s">
        <v>10</v>
      </c>
      <c r="H31" s="6">
        <v>241.16</v>
      </c>
      <c r="I31" s="6">
        <v>288.39999999999998</v>
      </c>
      <c r="J31" s="6">
        <v>281.5</v>
      </c>
      <c r="K31" s="6">
        <f>AVERAGE(Table5[[#This Row],[23 Pts]:[25 Proj]])</f>
        <v>78.2</v>
      </c>
      <c r="L31" s="49">
        <f>Table5[[#This Row],[Avg]]/17</f>
        <v>4.6000000000000005</v>
      </c>
      <c r="M31" s="4" t="s">
        <v>427</v>
      </c>
      <c r="N31" s="5">
        <v>92</v>
      </c>
      <c r="O31" s="5">
        <v>8</v>
      </c>
      <c r="Q31" s="5">
        <v>8</v>
      </c>
      <c r="R31" s="5">
        <v>91</v>
      </c>
      <c r="S31" s="5" t="s">
        <v>376</v>
      </c>
      <c r="T31" s="4" t="s">
        <v>73</v>
      </c>
      <c r="U31" s="4" t="s">
        <v>35</v>
      </c>
      <c r="V31" s="6">
        <v>250.2</v>
      </c>
      <c r="W31" s="6">
        <v>165.8</v>
      </c>
      <c r="X31" s="6">
        <v>165</v>
      </c>
      <c r="Y31" s="6">
        <f>AVERAGE(Table5[[#This Row],[23 Pts]:[25 Proj]])</f>
        <v>78.2</v>
      </c>
      <c r="Z31" s="49">
        <f>Table5[[#This Row],[Avg]]/17</f>
        <v>4.6000000000000005</v>
      </c>
      <c r="AA31" s="4" t="s">
        <v>146</v>
      </c>
      <c r="AB31" s="5">
        <v>91</v>
      </c>
      <c r="AC31" s="5">
        <v>8</v>
      </c>
      <c r="AE31" s="5">
        <v>8</v>
      </c>
      <c r="AF31" s="5">
        <v>90</v>
      </c>
      <c r="AG31" s="5" t="s">
        <v>372</v>
      </c>
      <c r="AH31" s="4" t="s">
        <v>40</v>
      </c>
      <c r="AI31" s="4" t="s">
        <v>35</v>
      </c>
      <c r="AJ31" s="6" t="s">
        <v>60</v>
      </c>
      <c r="AK31" s="6" t="s">
        <v>60</v>
      </c>
      <c r="AL31" s="6">
        <v>171.6</v>
      </c>
      <c r="AM31" s="6">
        <f>AVERAGE(Table5[[#This Row],[23 Pts]:[25 Proj]])</f>
        <v>78.2</v>
      </c>
      <c r="AN31" s="49">
        <f>Table5[[#This Row],[Avg]]/17</f>
        <v>4.6000000000000005</v>
      </c>
      <c r="AO31" s="4" t="s">
        <v>158</v>
      </c>
      <c r="AP31" s="5">
        <v>90</v>
      </c>
      <c r="AQ31" s="5">
        <v>8</v>
      </c>
      <c r="AS31" s="5">
        <v>8</v>
      </c>
      <c r="AT31" s="5">
        <v>89</v>
      </c>
      <c r="AU31" s="5" t="s">
        <v>122</v>
      </c>
      <c r="AV31" s="4" t="s">
        <v>85</v>
      </c>
      <c r="AW31" s="4" t="s">
        <v>24</v>
      </c>
      <c r="AX31" s="6">
        <v>106.1</v>
      </c>
      <c r="AY31" s="6">
        <v>186.9</v>
      </c>
      <c r="AZ31" s="6">
        <v>129.9</v>
      </c>
      <c r="BA31" s="6">
        <f>AVERAGE(Table5[[#This Row],[23 Pts]:[25 Proj]])</f>
        <v>78.2</v>
      </c>
      <c r="BB31" s="49">
        <f>Table5[[#This Row],[Avg]]/17</f>
        <v>4.6000000000000005</v>
      </c>
      <c r="BC31" s="4" t="s">
        <v>145</v>
      </c>
      <c r="BD31" s="5">
        <v>89</v>
      </c>
      <c r="BE31" s="5">
        <v>8</v>
      </c>
    </row>
    <row r="32" spans="3:57" x14ac:dyDescent="0.35">
      <c r="C32" s="5">
        <v>9</v>
      </c>
      <c r="D32" s="5">
        <v>101</v>
      </c>
      <c r="E32" s="5" t="s">
        <v>194</v>
      </c>
      <c r="F32" s="4" t="s">
        <v>27</v>
      </c>
      <c r="G32" s="4" t="s">
        <v>24</v>
      </c>
      <c r="H32" s="6">
        <v>22.8</v>
      </c>
      <c r="I32" s="6" t="s">
        <v>60</v>
      </c>
      <c r="J32" s="6">
        <v>72.099999999999994</v>
      </c>
      <c r="K32" s="6">
        <f>AVERAGE(Table5[[#This Row],[23 Pts]:[25 Proj]])</f>
        <v>142.33333333333334</v>
      </c>
      <c r="L32" s="49">
        <f>Table5[[#This Row],[Avg]]/17</f>
        <v>8.3725490196078436</v>
      </c>
      <c r="M32" s="4" t="s">
        <v>427</v>
      </c>
      <c r="N32" s="5">
        <v>101</v>
      </c>
      <c r="O32" s="5">
        <v>9</v>
      </c>
      <c r="Q32" s="5">
        <v>9</v>
      </c>
      <c r="R32" s="5">
        <v>102</v>
      </c>
      <c r="S32" s="5" t="s">
        <v>184</v>
      </c>
      <c r="T32" s="4" t="s">
        <v>12</v>
      </c>
      <c r="U32" s="4" t="s">
        <v>24</v>
      </c>
      <c r="V32" s="6">
        <v>198.1</v>
      </c>
      <c r="W32" s="6">
        <v>159.80000000000001</v>
      </c>
      <c r="X32" s="6">
        <v>149.4</v>
      </c>
      <c r="Y32" s="6">
        <f>AVERAGE(Table5[[#This Row],[23 Pts]:[25 Proj]])</f>
        <v>142.33333333333334</v>
      </c>
      <c r="Z32" s="49">
        <f>Table5[[#This Row],[Avg]]/17</f>
        <v>8.3725490196078436</v>
      </c>
      <c r="AA32" s="4" t="s">
        <v>146</v>
      </c>
      <c r="AB32" s="5">
        <v>102</v>
      </c>
      <c r="AC32" s="5">
        <v>9</v>
      </c>
      <c r="AE32" s="5">
        <v>9</v>
      </c>
      <c r="AF32" s="5">
        <v>103</v>
      </c>
      <c r="AG32" s="5" t="s">
        <v>88</v>
      </c>
      <c r="AH32" s="4" t="s">
        <v>83</v>
      </c>
      <c r="AI32" s="4" t="s">
        <v>10</v>
      </c>
      <c r="AJ32" s="6" t="s">
        <v>60</v>
      </c>
      <c r="AK32" s="6">
        <v>187.14</v>
      </c>
      <c r="AL32" s="6">
        <v>282.92</v>
      </c>
      <c r="AM32" s="6">
        <f>AVERAGE(Table5[[#This Row],[23 Pts]:[25 Proj]])</f>
        <v>142.33333333333334</v>
      </c>
      <c r="AN32" s="49">
        <f>Table5[[#This Row],[Avg]]/17</f>
        <v>8.3725490196078436</v>
      </c>
      <c r="AO32" s="4" t="s">
        <v>158</v>
      </c>
      <c r="AP32" s="5">
        <v>103</v>
      </c>
      <c r="AQ32" s="5">
        <v>9</v>
      </c>
      <c r="AS32" s="5">
        <v>9</v>
      </c>
      <c r="AT32" s="5">
        <v>104</v>
      </c>
      <c r="AU32" s="5" t="s">
        <v>72</v>
      </c>
      <c r="AV32" s="4" t="s">
        <v>12</v>
      </c>
      <c r="AW32" s="4" t="s">
        <v>35</v>
      </c>
      <c r="AX32" s="6">
        <v>249.2</v>
      </c>
      <c r="AY32" s="6">
        <v>62.4</v>
      </c>
      <c r="AZ32" s="6">
        <v>160.30000000000001</v>
      </c>
      <c r="BA32" s="6">
        <f>AVERAGE(Table5[[#This Row],[23 Pts]:[25 Proj]])</f>
        <v>142.33333333333334</v>
      </c>
      <c r="BB32" s="49">
        <f>Table5[[#This Row],[Avg]]/17</f>
        <v>8.3725490196078436</v>
      </c>
      <c r="BC32" s="4" t="s">
        <v>145</v>
      </c>
      <c r="BD32" s="5">
        <v>104</v>
      </c>
      <c r="BE32" s="5">
        <v>9</v>
      </c>
    </row>
    <row r="33" spans="3:57" x14ac:dyDescent="0.35">
      <c r="C33" s="5">
        <v>10</v>
      </c>
      <c r="D33" s="5">
        <v>116</v>
      </c>
      <c r="E33" s="5" t="s">
        <v>230</v>
      </c>
      <c r="F33" s="4" t="s">
        <v>55</v>
      </c>
      <c r="G33" s="4" t="s">
        <v>424</v>
      </c>
      <c r="H33" s="6" t="s">
        <v>60</v>
      </c>
      <c r="I33" s="6" t="s">
        <v>60</v>
      </c>
      <c r="J33" s="6">
        <v>146.80000000000001</v>
      </c>
      <c r="K33" s="6">
        <f>AVERAGE(Table5[[#This Row],[23 Pts]:[25 Proj]])</f>
        <v>148.66666666666666</v>
      </c>
      <c r="L33" s="49">
        <f>Table5[[#This Row],[Avg]]/17</f>
        <v>8.7450980392156854</v>
      </c>
      <c r="M33" s="4" t="s">
        <v>427</v>
      </c>
      <c r="N33" s="5">
        <v>116</v>
      </c>
      <c r="O33" s="5">
        <v>10</v>
      </c>
      <c r="Q33" s="5">
        <v>10</v>
      </c>
      <c r="R33" s="5">
        <v>115</v>
      </c>
      <c r="S33" s="5" t="s">
        <v>377</v>
      </c>
      <c r="T33" s="4" t="s">
        <v>31</v>
      </c>
      <c r="U33" s="4" t="s">
        <v>35</v>
      </c>
      <c r="V33" s="6">
        <v>78.900000000000006</v>
      </c>
      <c r="W33" s="6">
        <v>193.2</v>
      </c>
      <c r="X33" s="6">
        <v>162.80000000000001</v>
      </c>
      <c r="Y33" s="6">
        <f>AVERAGE(Table5[[#This Row],[23 Pts]:[25 Proj]])</f>
        <v>148.66666666666666</v>
      </c>
      <c r="Z33" s="49">
        <f>Table5[[#This Row],[Avg]]/17</f>
        <v>8.7450980392156854</v>
      </c>
      <c r="AA33" s="4" t="s">
        <v>146</v>
      </c>
      <c r="AB33" s="5">
        <v>115</v>
      </c>
      <c r="AC33" s="5">
        <v>10</v>
      </c>
      <c r="AE33" s="5">
        <v>10</v>
      </c>
      <c r="AF33" s="5">
        <v>114</v>
      </c>
      <c r="AG33" s="5" t="s">
        <v>188</v>
      </c>
      <c r="AH33" s="4" t="s">
        <v>9</v>
      </c>
      <c r="AI33" s="4" t="s">
        <v>24</v>
      </c>
      <c r="AJ33" s="6" t="s">
        <v>60</v>
      </c>
      <c r="AK33" s="6">
        <v>116.1</v>
      </c>
      <c r="AL33" s="6">
        <v>108.6</v>
      </c>
      <c r="AM33" s="6">
        <f>AVERAGE(Table5[[#This Row],[23 Pts]:[25 Proj]])</f>
        <v>148.66666666666666</v>
      </c>
      <c r="AN33" s="49">
        <f>Table5[[#This Row],[Avg]]/17</f>
        <v>8.7450980392156854</v>
      </c>
      <c r="AO33" s="4" t="s">
        <v>158</v>
      </c>
      <c r="AP33" s="5">
        <v>114</v>
      </c>
      <c r="AQ33" s="5">
        <v>10</v>
      </c>
      <c r="AS33" s="5">
        <v>10</v>
      </c>
      <c r="AT33" s="5">
        <v>113</v>
      </c>
      <c r="AU33" s="5" t="s">
        <v>118</v>
      </c>
      <c r="AV33" s="4" t="s">
        <v>81</v>
      </c>
      <c r="AW33" s="4" t="s">
        <v>24</v>
      </c>
      <c r="AX33" s="6">
        <v>153.80000000000001</v>
      </c>
      <c r="AY33" s="6">
        <v>113.6</v>
      </c>
      <c r="AZ33" s="6">
        <v>121.3</v>
      </c>
      <c r="BA33" s="6">
        <f>AVERAGE(Table5[[#This Row],[23 Pts]:[25 Proj]])</f>
        <v>148.66666666666666</v>
      </c>
      <c r="BB33" s="49">
        <f>Table5[[#This Row],[Avg]]/17</f>
        <v>8.7450980392156854</v>
      </c>
      <c r="BC33" s="4" t="s">
        <v>145</v>
      </c>
      <c r="BD33" s="5">
        <v>113</v>
      </c>
      <c r="BE33" s="5">
        <v>10</v>
      </c>
    </row>
    <row r="34" spans="3:57" x14ac:dyDescent="0.35">
      <c r="C34" s="5">
        <v>11</v>
      </c>
      <c r="D34" s="5">
        <v>125</v>
      </c>
      <c r="E34" s="5" t="s">
        <v>381</v>
      </c>
      <c r="F34" s="4" t="s">
        <v>48</v>
      </c>
      <c r="G34" s="4" t="s">
        <v>35</v>
      </c>
      <c r="H34" s="6">
        <v>150.26</v>
      </c>
      <c r="I34" s="6">
        <v>70.900000000000006</v>
      </c>
      <c r="J34" s="6">
        <v>150.9</v>
      </c>
      <c r="K34" s="6">
        <f>AVERAGE(Table5[[#This Row],[23 Pts]:[25 Proj]])</f>
        <v>268.64999999999998</v>
      </c>
      <c r="L34" s="49">
        <f>Table5[[#This Row],[Avg]]/17</f>
        <v>15.802941176470586</v>
      </c>
      <c r="M34" s="4" t="s">
        <v>427</v>
      </c>
      <c r="N34" s="5">
        <v>125</v>
      </c>
      <c r="O34" s="5">
        <v>11</v>
      </c>
      <c r="Q34" s="5">
        <v>11</v>
      </c>
      <c r="R34" s="5">
        <v>126</v>
      </c>
      <c r="S34" s="5" t="s">
        <v>160</v>
      </c>
      <c r="T34" s="4" t="s">
        <v>81</v>
      </c>
      <c r="U34" s="4" t="s">
        <v>10</v>
      </c>
      <c r="V34" s="6" t="s">
        <v>60</v>
      </c>
      <c r="W34" s="6" t="s">
        <v>60</v>
      </c>
      <c r="X34" s="6">
        <v>250.59</v>
      </c>
      <c r="Y34" s="6">
        <f>AVERAGE(Table5[[#This Row],[23 Pts]:[25 Proj]])</f>
        <v>268.64999999999998</v>
      </c>
      <c r="Z34" s="49">
        <f>Table5[[#This Row],[Avg]]/17</f>
        <v>15.802941176470586</v>
      </c>
      <c r="AA34" s="4" t="s">
        <v>146</v>
      </c>
      <c r="AB34" s="5">
        <v>126</v>
      </c>
      <c r="AC34" s="5">
        <v>11</v>
      </c>
      <c r="AE34" s="5">
        <v>11</v>
      </c>
      <c r="AF34" s="5">
        <v>127</v>
      </c>
      <c r="AG34" s="5" t="s">
        <v>125</v>
      </c>
      <c r="AH34" s="4" t="s">
        <v>46</v>
      </c>
      <c r="AI34" s="4" t="s">
        <v>24</v>
      </c>
      <c r="AJ34" s="6" t="s">
        <v>60</v>
      </c>
      <c r="AK34" s="6">
        <v>47</v>
      </c>
      <c r="AL34" s="6">
        <v>96.5</v>
      </c>
      <c r="AM34" s="6">
        <f>AVERAGE(Table5[[#This Row],[23 Pts]:[25 Proj]])</f>
        <v>268.64999999999998</v>
      </c>
      <c r="AN34" s="49">
        <f>Table5[[#This Row],[Avg]]/17</f>
        <v>15.802941176470586</v>
      </c>
      <c r="AO34" s="4" t="s">
        <v>158</v>
      </c>
      <c r="AP34" s="5">
        <v>127</v>
      </c>
      <c r="AQ34" s="5">
        <v>11</v>
      </c>
      <c r="AS34" s="5">
        <v>11</v>
      </c>
      <c r="AT34" s="5">
        <v>128</v>
      </c>
      <c r="AU34" s="5" t="s">
        <v>236</v>
      </c>
      <c r="AV34" s="4" t="s">
        <v>9</v>
      </c>
      <c r="AW34" s="4" t="s">
        <v>424</v>
      </c>
      <c r="AX34" s="6">
        <v>150.30000000000001</v>
      </c>
      <c r="AY34" s="6">
        <v>100.8</v>
      </c>
      <c r="AZ34" s="6">
        <v>132.5</v>
      </c>
      <c r="BA34" s="6">
        <f>AVERAGE(Table5[[#This Row],[23 Pts]:[25 Proj]])</f>
        <v>268.64999999999998</v>
      </c>
      <c r="BB34" s="49">
        <f>Table5[[#This Row],[Avg]]/17</f>
        <v>15.802941176470586</v>
      </c>
      <c r="BC34" s="4" t="s">
        <v>145</v>
      </c>
      <c r="BD34" s="5">
        <v>128</v>
      </c>
      <c r="BE34" s="5">
        <v>11</v>
      </c>
    </row>
    <row r="35" spans="3:57" x14ac:dyDescent="0.35">
      <c r="C35" s="5">
        <v>12</v>
      </c>
      <c r="D35" s="5">
        <v>140</v>
      </c>
      <c r="E35" s="5" t="s">
        <v>423</v>
      </c>
      <c r="F35" s="4" t="s">
        <v>21</v>
      </c>
      <c r="G35" s="4" t="s">
        <v>24</v>
      </c>
      <c r="H35" s="6" t="s">
        <v>60</v>
      </c>
      <c r="I35" s="6" t="s">
        <v>60</v>
      </c>
      <c r="J35" s="6">
        <v>50.3</v>
      </c>
      <c r="K35" s="6">
        <f>AVERAGE(Table5[[#This Row],[23 Pts]:[25 Proj]])</f>
        <v>269.69333333333333</v>
      </c>
      <c r="L35" s="49">
        <f>Table5[[#This Row],[Avg]]/17</f>
        <v>15.864313725490195</v>
      </c>
      <c r="M35" s="4" t="s">
        <v>427</v>
      </c>
      <c r="N35" s="5">
        <v>140</v>
      </c>
      <c r="O35" s="5">
        <v>12</v>
      </c>
      <c r="Q35" s="5">
        <v>12</v>
      </c>
      <c r="R35" s="5">
        <v>139</v>
      </c>
      <c r="S35" s="5" t="s">
        <v>388</v>
      </c>
      <c r="T35" s="4" t="s">
        <v>22</v>
      </c>
      <c r="U35" s="4" t="s">
        <v>35</v>
      </c>
      <c r="V35" s="6">
        <v>134.69999999999999</v>
      </c>
      <c r="W35" s="6">
        <v>18.100000000000001</v>
      </c>
      <c r="X35" s="6">
        <v>138.6</v>
      </c>
      <c r="Y35" s="6">
        <f>AVERAGE(Table5[[#This Row],[23 Pts]:[25 Proj]])</f>
        <v>269.69333333333333</v>
      </c>
      <c r="Z35" s="49">
        <f>Table5[[#This Row],[Avg]]/17</f>
        <v>15.864313725490195</v>
      </c>
      <c r="AA35" s="4" t="s">
        <v>146</v>
      </c>
      <c r="AB35" s="5">
        <v>139</v>
      </c>
      <c r="AC35" s="5">
        <v>12</v>
      </c>
      <c r="AE35" s="5">
        <v>12</v>
      </c>
      <c r="AF35" s="5">
        <v>138</v>
      </c>
      <c r="AG35" s="5" t="s">
        <v>383</v>
      </c>
      <c r="AH35" s="4" t="s">
        <v>9</v>
      </c>
      <c r="AI35" s="4" t="s">
        <v>35</v>
      </c>
      <c r="AJ35" s="6">
        <v>106.7</v>
      </c>
      <c r="AK35" s="6">
        <v>107.4</v>
      </c>
      <c r="AL35" s="6">
        <v>146.30000000000001</v>
      </c>
      <c r="AM35" s="6">
        <f>AVERAGE(Table5[[#This Row],[23 Pts]:[25 Proj]])</f>
        <v>269.69333333333333</v>
      </c>
      <c r="AN35" s="49">
        <f>Table5[[#This Row],[Avg]]/17</f>
        <v>15.864313725490195</v>
      </c>
      <c r="AO35" s="4" t="s">
        <v>158</v>
      </c>
      <c r="AP35" s="5">
        <v>138</v>
      </c>
      <c r="AQ35" s="5">
        <v>12</v>
      </c>
      <c r="AS35" s="5">
        <v>12</v>
      </c>
      <c r="AT35" s="5">
        <v>137</v>
      </c>
      <c r="AU35" s="5" t="s">
        <v>374</v>
      </c>
      <c r="AV35" s="4" t="s">
        <v>48</v>
      </c>
      <c r="AW35" s="4" t="s">
        <v>35</v>
      </c>
      <c r="AX35" s="6" t="s">
        <v>60</v>
      </c>
      <c r="AY35" s="6" t="s">
        <v>60</v>
      </c>
      <c r="AZ35" s="6">
        <v>169.7</v>
      </c>
      <c r="BA35" s="6">
        <f>AVERAGE(Table5[[#This Row],[23 Pts]:[25 Proj]])</f>
        <v>269.69333333333333</v>
      </c>
      <c r="BB35" s="49">
        <f>Table5[[#This Row],[Avg]]/17</f>
        <v>15.864313725490195</v>
      </c>
      <c r="BC35" s="4" t="s">
        <v>145</v>
      </c>
      <c r="BD35" s="5">
        <v>137</v>
      </c>
      <c r="BE35" s="5">
        <v>12</v>
      </c>
    </row>
    <row r="36" spans="3:57" x14ac:dyDescent="0.35">
      <c r="C36" s="5">
        <v>13</v>
      </c>
      <c r="D36" s="5">
        <v>149</v>
      </c>
      <c r="E36" s="5" t="s">
        <v>309</v>
      </c>
      <c r="F36" s="4" t="s">
        <v>52</v>
      </c>
      <c r="G36" s="4" t="s">
        <v>117</v>
      </c>
      <c r="H36" s="6">
        <v>133</v>
      </c>
      <c r="I36" s="6">
        <v>191</v>
      </c>
      <c r="J36" s="6">
        <v>144</v>
      </c>
      <c r="K36" s="6">
        <f>AVERAGE(Table5[[#This Row],[23 Pts]:[25 Proj]])</f>
        <v>357.66999999999996</v>
      </c>
      <c r="L36" s="49">
        <f>Table5[[#This Row],[Avg]]/17</f>
        <v>21.039411764705878</v>
      </c>
      <c r="M36" s="4" t="s">
        <v>427</v>
      </c>
      <c r="N36" s="5">
        <v>149</v>
      </c>
      <c r="O36" s="5">
        <v>13</v>
      </c>
      <c r="Q36" s="5">
        <v>13</v>
      </c>
      <c r="R36" s="5">
        <v>150</v>
      </c>
      <c r="S36" s="5" t="s">
        <v>278</v>
      </c>
      <c r="T36" s="4" t="s">
        <v>9</v>
      </c>
      <c r="U36" s="4" t="s">
        <v>1</v>
      </c>
      <c r="V36" s="6">
        <v>159</v>
      </c>
      <c r="W36" s="6">
        <v>130</v>
      </c>
      <c r="X36" s="6">
        <v>133</v>
      </c>
      <c r="Y36" s="6">
        <f>AVERAGE(Table5[[#This Row],[23 Pts]:[25 Proj]])</f>
        <v>357.66999999999996</v>
      </c>
      <c r="Z36" s="49">
        <f>Table5[[#This Row],[Avg]]/17</f>
        <v>21.039411764705878</v>
      </c>
      <c r="AA36" s="4" t="s">
        <v>146</v>
      </c>
      <c r="AB36" s="5">
        <v>150</v>
      </c>
      <c r="AC36" s="5">
        <v>13</v>
      </c>
      <c r="AE36" s="5">
        <v>13</v>
      </c>
      <c r="AF36" s="5">
        <v>151</v>
      </c>
      <c r="AG36" s="5" t="s">
        <v>130</v>
      </c>
      <c r="AH36" s="4" t="s">
        <v>104</v>
      </c>
      <c r="AI36" s="4" t="s">
        <v>24</v>
      </c>
      <c r="AJ36" s="6">
        <v>91.5</v>
      </c>
      <c r="AK36" s="6">
        <v>197.8</v>
      </c>
      <c r="AL36" s="6">
        <v>88.1</v>
      </c>
      <c r="AM36" s="6">
        <f>AVERAGE(Table5[[#This Row],[23 Pts]:[25 Proj]])</f>
        <v>357.66999999999996</v>
      </c>
      <c r="AN36" s="49">
        <f>Table5[[#This Row],[Avg]]/17</f>
        <v>21.039411764705878</v>
      </c>
      <c r="AO36" s="4" t="s">
        <v>158</v>
      </c>
      <c r="AP36" s="5">
        <v>151</v>
      </c>
      <c r="AQ36" s="5">
        <v>13</v>
      </c>
      <c r="AS36" s="5">
        <v>13</v>
      </c>
      <c r="AT36" s="5">
        <v>152</v>
      </c>
      <c r="AU36" s="5" t="s">
        <v>402</v>
      </c>
      <c r="AV36" s="4" t="s">
        <v>104</v>
      </c>
      <c r="AW36" s="4" t="s">
        <v>35</v>
      </c>
      <c r="AX36" s="6" t="s">
        <v>60</v>
      </c>
      <c r="AY36" s="6">
        <v>125.1</v>
      </c>
      <c r="AZ36" s="6">
        <v>102.4</v>
      </c>
      <c r="BA36" s="6">
        <f>AVERAGE(Table5[[#This Row],[23 Pts]:[25 Proj]])</f>
        <v>357.66999999999996</v>
      </c>
      <c r="BB36" s="49">
        <f>Table5[[#This Row],[Avg]]/17</f>
        <v>21.039411764705878</v>
      </c>
      <c r="BC36" s="4" t="s">
        <v>145</v>
      </c>
      <c r="BD36" s="5">
        <v>152</v>
      </c>
      <c r="BE36" s="5">
        <v>13</v>
      </c>
    </row>
    <row r="37" spans="3:57" x14ac:dyDescent="0.35">
      <c r="C37" s="5">
        <v>14</v>
      </c>
      <c r="D37" s="5">
        <v>164</v>
      </c>
      <c r="E37" s="5" t="s">
        <v>405</v>
      </c>
      <c r="F37" s="4" t="s">
        <v>81</v>
      </c>
      <c r="G37" s="4" t="s">
        <v>35</v>
      </c>
      <c r="H37" s="6" t="s">
        <v>60</v>
      </c>
      <c r="I37" s="6" t="s">
        <v>60</v>
      </c>
      <c r="J37" s="6">
        <v>100.1</v>
      </c>
      <c r="K37" s="6">
        <f>AVERAGE(Table5[[#This Row],[23 Pts]:[25 Proj]])</f>
        <v>251.4</v>
      </c>
      <c r="L37" s="49">
        <f>Table5[[#This Row],[Avg]]/17</f>
        <v>14.788235294117648</v>
      </c>
      <c r="M37" s="4" t="s">
        <v>427</v>
      </c>
      <c r="N37" s="5">
        <v>164</v>
      </c>
      <c r="O37" s="5">
        <v>14</v>
      </c>
      <c r="Q37" s="5">
        <v>14</v>
      </c>
      <c r="R37" s="5">
        <v>163</v>
      </c>
      <c r="S37" s="5" t="s">
        <v>245</v>
      </c>
      <c r="T37" s="4" t="s">
        <v>81</v>
      </c>
      <c r="U37" s="4" t="s">
        <v>424</v>
      </c>
      <c r="V37" s="6">
        <v>113.4</v>
      </c>
      <c r="W37" s="6">
        <v>113.6</v>
      </c>
      <c r="X37" s="6">
        <v>109.2</v>
      </c>
      <c r="Y37" s="6">
        <f>AVERAGE(Table5[[#This Row],[23 Pts]:[25 Proj]])</f>
        <v>251.4</v>
      </c>
      <c r="Z37" s="49">
        <f>Table5[[#This Row],[Avg]]/17</f>
        <v>14.788235294117648</v>
      </c>
      <c r="AA37" s="4" t="s">
        <v>146</v>
      </c>
      <c r="AB37" s="5">
        <v>163</v>
      </c>
      <c r="AC37" s="5">
        <v>14</v>
      </c>
      <c r="AE37" s="5">
        <v>14</v>
      </c>
      <c r="AF37" s="5">
        <v>162</v>
      </c>
      <c r="AG37" s="5" t="s">
        <v>273</v>
      </c>
      <c r="AH37" s="4" t="s">
        <v>48</v>
      </c>
      <c r="AI37" s="4" t="s">
        <v>1</v>
      </c>
      <c r="AJ37" s="6">
        <v>131</v>
      </c>
      <c r="AK37" s="6">
        <v>141</v>
      </c>
      <c r="AL37" s="6">
        <v>141</v>
      </c>
      <c r="AM37" s="6">
        <f>AVERAGE(Table5[[#This Row],[23 Pts]:[25 Proj]])</f>
        <v>251.4</v>
      </c>
      <c r="AN37" s="49">
        <f>Table5[[#This Row],[Avg]]/17</f>
        <v>14.788235294117648</v>
      </c>
      <c r="AO37" s="4" t="s">
        <v>158</v>
      </c>
      <c r="AP37" s="5">
        <v>162</v>
      </c>
      <c r="AQ37" s="5">
        <v>14</v>
      </c>
      <c r="AS37" s="5">
        <v>14</v>
      </c>
      <c r="AT37" s="5">
        <v>161</v>
      </c>
      <c r="AU37" s="5" t="s">
        <v>283</v>
      </c>
      <c r="AV37" s="4" t="s">
        <v>12</v>
      </c>
      <c r="AW37" s="4" t="s">
        <v>1</v>
      </c>
      <c r="AX37" s="6">
        <v>141</v>
      </c>
      <c r="AY37" s="6">
        <v>109</v>
      </c>
      <c r="AZ37" s="6">
        <v>84</v>
      </c>
      <c r="BA37" s="6">
        <f>AVERAGE(Table5[[#This Row],[23 Pts]:[25 Proj]])</f>
        <v>251.4</v>
      </c>
      <c r="BB37" s="49">
        <f>Table5[[#This Row],[Avg]]/17</f>
        <v>14.788235294117648</v>
      </c>
      <c r="BC37" s="4" t="s">
        <v>145</v>
      </c>
      <c r="BD37" s="5">
        <v>161</v>
      </c>
      <c r="BE37" s="5">
        <v>14</v>
      </c>
    </row>
    <row r="38" spans="3:57" x14ac:dyDescent="0.35">
      <c r="C38" s="5">
        <v>15</v>
      </c>
      <c r="D38" s="5">
        <v>173</v>
      </c>
      <c r="E38" s="5" t="s">
        <v>284</v>
      </c>
      <c r="F38" s="4" t="s">
        <v>40</v>
      </c>
      <c r="G38" s="4" t="s">
        <v>1</v>
      </c>
      <c r="H38" s="6">
        <v>115</v>
      </c>
      <c r="I38" s="6">
        <v>109</v>
      </c>
      <c r="J38" s="6">
        <v>148</v>
      </c>
      <c r="K38" s="6">
        <f>AVERAGE(Table5[[#This Row],[23 Pts]:[25 Proj]])</f>
        <v>185.2</v>
      </c>
      <c r="L38" s="49">
        <f>Table5[[#This Row],[Avg]]/17</f>
        <v>10.894117647058822</v>
      </c>
      <c r="M38" s="4" t="s">
        <v>427</v>
      </c>
      <c r="N38" s="5">
        <v>173</v>
      </c>
      <c r="O38" s="5">
        <v>15</v>
      </c>
      <c r="Q38" s="5">
        <v>15</v>
      </c>
      <c r="R38" s="5">
        <v>174</v>
      </c>
      <c r="S38" s="5" t="s">
        <v>316</v>
      </c>
      <c r="T38" s="4" t="s">
        <v>23</v>
      </c>
      <c r="U38" s="4" t="s">
        <v>117</v>
      </c>
      <c r="V38" s="6" t="s">
        <v>60</v>
      </c>
      <c r="W38" s="6" t="s">
        <v>60</v>
      </c>
      <c r="X38" s="6">
        <v>140</v>
      </c>
      <c r="Y38" s="6">
        <f>AVERAGE(Table5[[#This Row],[23 Pts]:[25 Proj]])</f>
        <v>185.2</v>
      </c>
      <c r="Z38" s="49">
        <f>Table5[[#This Row],[Avg]]/17</f>
        <v>10.894117647058822</v>
      </c>
      <c r="AA38" s="4" t="s">
        <v>146</v>
      </c>
      <c r="AB38" s="5">
        <v>174</v>
      </c>
      <c r="AC38" s="5">
        <v>15</v>
      </c>
      <c r="AE38" s="5">
        <v>15</v>
      </c>
      <c r="AF38" s="5">
        <v>175</v>
      </c>
      <c r="AG38" s="5" t="s">
        <v>313</v>
      </c>
      <c r="AH38" s="4" t="s">
        <v>9</v>
      </c>
      <c r="AI38" s="4" t="s">
        <v>117</v>
      </c>
      <c r="AJ38" s="6">
        <v>133</v>
      </c>
      <c r="AK38" s="6">
        <v>146</v>
      </c>
      <c r="AL38" s="6">
        <v>142</v>
      </c>
      <c r="AM38" s="6">
        <f>AVERAGE(Table5[[#This Row],[23 Pts]:[25 Proj]])</f>
        <v>185.2</v>
      </c>
      <c r="AN38" s="49">
        <f>Table5[[#This Row],[Avg]]/17</f>
        <v>10.894117647058822</v>
      </c>
      <c r="AO38" s="4" t="s">
        <v>158</v>
      </c>
      <c r="AP38" s="5">
        <v>175</v>
      </c>
      <c r="AQ38" s="5">
        <v>15</v>
      </c>
      <c r="AS38" s="5">
        <v>15</v>
      </c>
      <c r="AT38" s="5">
        <v>176</v>
      </c>
      <c r="AU38" s="5" t="s">
        <v>320</v>
      </c>
      <c r="AV38" s="4" t="s">
        <v>31</v>
      </c>
      <c r="AW38" s="4" t="s">
        <v>117</v>
      </c>
      <c r="AX38" s="6">
        <v>138</v>
      </c>
      <c r="AY38" s="6">
        <v>120</v>
      </c>
      <c r="AZ38" s="6">
        <v>137</v>
      </c>
      <c r="BA38" s="6">
        <f>AVERAGE(Table5[[#This Row],[23 Pts]:[25 Proj]])</f>
        <v>185.2</v>
      </c>
      <c r="BB38" s="49">
        <f>Table5[[#This Row],[Avg]]/17</f>
        <v>10.894117647058822</v>
      </c>
      <c r="BC38" s="4" t="s">
        <v>145</v>
      </c>
      <c r="BD38" s="5">
        <v>176</v>
      </c>
      <c r="BE38" s="5">
        <v>15</v>
      </c>
    </row>
    <row r="39" spans="3:57" x14ac:dyDescent="0.35">
      <c r="C39" s="5">
        <v>16</v>
      </c>
      <c r="D39" s="5">
        <v>188</v>
      </c>
      <c r="E39" s="5" t="s">
        <v>339</v>
      </c>
      <c r="F39" s="4" t="s">
        <v>31</v>
      </c>
      <c r="G39" s="4" t="s">
        <v>35</v>
      </c>
      <c r="H39" s="6">
        <v>174.38</v>
      </c>
      <c r="I39" s="6">
        <v>280.8</v>
      </c>
      <c r="J39" s="6">
        <v>247.2</v>
      </c>
      <c r="K39" s="6">
        <f>AVERAGE(Table5[[#This Row],[23 Pts]:[25 Proj]])</f>
        <v>167.2</v>
      </c>
      <c r="L39" s="49">
        <f>Table5[[#This Row],[Avg]]/17</f>
        <v>9.8352941176470576</v>
      </c>
      <c r="M39" s="4" t="s">
        <v>427</v>
      </c>
      <c r="N39" s="5">
        <v>188</v>
      </c>
      <c r="O39" s="5">
        <v>16</v>
      </c>
      <c r="Q39" s="5">
        <v>16</v>
      </c>
      <c r="R39" s="5">
        <v>187</v>
      </c>
      <c r="S39" s="5" t="s">
        <v>61</v>
      </c>
      <c r="T39" s="4" t="s">
        <v>18</v>
      </c>
      <c r="U39" s="4" t="s">
        <v>24</v>
      </c>
      <c r="V39" s="6">
        <v>223.2</v>
      </c>
      <c r="W39" s="6">
        <v>355.3</v>
      </c>
      <c r="X39" s="6">
        <v>296.2</v>
      </c>
      <c r="Y39" s="6">
        <f>AVERAGE(Table5[[#This Row],[23 Pts]:[25 Proj]])</f>
        <v>167.2</v>
      </c>
      <c r="Z39" s="49">
        <f>Table5[[#This Row],[Avg]]/17</f>
        <v>9.8352941176470576</v>
      </c>
      <c r="AA39" s="4" t="s">
        <v>146</v>
      </c>
      <c r="AB39" s="5">
        <v>187</v>
      </c>
      <c r="AC39" s="5">
        <v>16</v>
      </c>
      <c r="AE39" s="5">
        <v>16</v>
      </c>
      <c r="AF39" s="5">
        <v>186</v>
      </c>
      <c r="AG39" s="5" t="s">
        <v>13</v>
      </c>
      <c r="AH39" s="4" t="s">
        <v>14</v>
      </c>
      <c r="AI39" s="4" t="s">
        <v>35</v>
      </c>
      <c r="AJ39" s="6">
        <v>403.2</v>
      </c>
      <c r="AK39" s="6">
        <v>263.39999999999998</v>
      </c>
      <c r="AL39" s="6">
        <v>288.60000000000002</v>
      </c>
      <c r="AM39" s="6">
        <f>AVERAGE(Table5[[#This Row],[23 Pts]:[25 Proj]])</f>
        <v>167.2</v>
      </c>
      <c r="AN39" s="49">
        <f>Table5[[#This Row],[Avg]]/17</f>
        <v>9.8352941176470576</v>
      </c>
      <c r="AO39" s="4" t="s">
        <v>158</v>
      </c>
      <c r="AP39" s="5">
        <v>186</v>
      </c>
      <c r="AQ39" s="5">
        <v>16</v>
      </c>
      <c r="AS39" s="5">
        <v>16</v>
      </c>
      <c r="AT39" s="5">
        <v>185</v>
      </c>
      <c r="AU39" s="5" t="s">
        <v>28</v>
      </c>
      <c r="AV39" s="4" t="s">
        <v>16</v>
      </c>
      <c r="AW39" s="4" t="s">
        <v>35</v>
      </c>
      <c r="AX39" s="6">
        <v>330.9</v>
      </c>
      <c r="AY39" s="6">
        <v>316.18</v>
      </c>
      <c r="AZ39" s="6">
        <v>271.3</v>
      </c>
      <c r="BA39" s="6">
        <f>AVERAGE(Table5[[#This Row],[23 Pts]:[25 Proj]])</f>
        <v>167.2</v>
      </c>
      <c r="BB39" s="49">
        <f>Table5[[#This Row],[Avg]]/17</f>
        <v>9.8352941176470576</v>
      </c>
      <c r="BC39" s="4" t="s">
        <v>145</v>
      </c>
      <c r="BD39" s="5">
        <v>185</v>
      </c>
      <c r="BE39" s="5">
        <v>16</v>
      </c>
    </row>
    <row r="40" spans="3:57" s="9" customFormat="1" hidden="1" x14ac:dyDescent="0.35">
      <c r="C40" s="28"/>
      <c r="D40" s="28">
        <f>AVERAGE(D24:D39)</f>
        <v>96.5</v>
      </c>
      <c r="E40" s="28"/>
      <c r="F40" s="29"/>
      <c r="G40" s="29"/>
      <c r="H40" s="30">
        <f>SUM(H24:H39)</f>
        <v>2450.3000000000002</v>
      </c>
      <c r="I40" s="30">
        <f t="shared" ref="I40:K40" si="4">SUM(I24:I39)</f>
        <v>1899.3</v>
      </c>
      <c r="J40" s="30">
        <f t="shared" si="4"/>
        <v>2802.0999999999995</v>
      </c>
      <c r="K40" s="30">
        <f t="shared" si="4"/>
        <v>3067.5099999999998</v>
      </c>
      <c r="L40" s="29"/>
      <c r="M40" s="28"/>
      <c r="N40" s="28"/>
      <c r="O40" s="28"/>
      <c r="Q40" s="28"/>
      <c r="R40" s="28">
        <f>AVERAGE(R24:R39)</f>
        <v>96.5</v>
      </c>
      <c r="S40" s="28"/>
      <c r="T40" s="29"/>
      <c r="U40" s="29"/>
      <c r="V40" s="30">
        <f>SUM(V24:V39)</f>
        <v>2581.98</v>
      </c>
      <c r="W40" s="30">
        <f t="shared" ref="W40:Y40" si="5">SUM(W24:W39)</f>
        <v>2625.56</v>
      </c>
      <c r="X40" s="30">
        <f t="shared" si="5"/>
        <v>3004.98</v>
      </c>
      <c r="Y40" s="30">
        <f t="shared" si="5"/>
        <v>3067.5099999999998</v>
      </c>
      <c r="Z40" s="31"/>
      <c r="AA40" s="28"/>
      <c r="AB40" s="28"/>
      <c r="AC40" s="28"/>
      <c r="AE40" s="28"/>
      <c r="AF40" s="28">
        <f>AVERAGE(AF24:AF39)</f>
        <v>96.5</v>
      </c>
      <c r="AG40" s="28"/>
      <c r="AH40" s="29"/>
      <c r="AI40" s="29"/>
      <c r="AJ40" s="30">
        <f>SUM(AJ24:AJ39)</f>
        <v>1625.5</v>
      </c>
      <c r="AK40" s="30">
        <f t="shared" ref="AK40:AM40" si="6">SUM(AK24:AK39)</f>
        <v>2285.3399999999997</v>
      </c>
      <c r="AL40" s="30">
        <f t="shared" si="6"/>
        <v>3012.31</v>
      </c>
      <c r="AM40" s="30">
        <f t="shared" si="6"/>
        <v>3067.5099999999998</v>
      </c>
      <c r="AN40" s="29"/>
      <c r="AO40" s="28"/>
      <c r="AP40" s="28"/>
      <c r="AQ40" s="28"/>
      <c r="AS40" s="28"/>
      <c r="AT40" s="28">
        <f>AVERAGE(AT24:AT39)</f>
        <v>96.5</v>
      </c>
      <c r="AU40" s="28"/>
      <c r="AV40" s="29"/>
      <c r="AW40" s="29"/>
      <c r="AX40" s="30">
        <f>SUM(AX24:AX39)</f>
        <v>1700.6599999999999</v>
      </c>
      <c r="AY40" s="30">
        <f t="shared" ref="AY40:BA40" si="7">SUM(AY24:AY39)</f>
        <v>2290.92</v>
      </c>
      <c r="AZ40" s="30">
        <f t="shared" si="7"/>
        <v>2779.61</v>
      </c>
      <c r="BA40" s="30">
        <f t="shared" si="7"/>
        <v>3067.5099999999998</v>
      </c>
      <c r="BB40" s="29"/>
      <c r="BC40" s="28"/>
      <c r="BD40" s="28"/>
      <c r="BE40" s="28"/>
    </row>
    <row r="41" spans="3:57" ht="16" x14ac:dyDescent="0.4">
      <c r="C41" s="50" t="s">
        <v>157</v>
      </c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Q41" s="50" t="s">
        <v>148</v>
      </c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E41" s="50" t="s">
        <v>149</v>
      </c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S41" s="50" t="s">
        <v>430</v>
      </c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</row>
    <row r="42" spans="3:57" x14ac:dyDescent="0.35">
      <c r="C42" s="5">
        <v>1</v>
      </c>
      <c r="D42" s="5">
        <v>9</v>
      </c>
      <c r="E42" s="5" t="s">
        <v>75</v>
      </c>
      <c r="F42" s="4" t="s">
        <v>21</v>
      </c>
      <c r="G42" s="4" t="s">
        <v>24</v>
      </c>
      <c r="H42" s="6">
        <v>190.7</v>
      </c>
      <c r="I42" s="6">
        <v>299.89999999999998</v>
      </c>
      <c r="J42" s="6">
        <v>260.60000000000002</v>
      </c>
      <c r="K42" s="6">
        <f>AVERAGE(Table5[[#This Row],[23 Pts]:[25 Proj]])</f>
        <v>146.5</v>
      </c>
      <c r="L42" s="49">
        <f>Table5[[#This Row],[Avg]]/17</f>
        <v>8.617647058823529</v>
      </c>
      <c r="M42" s="4" t="s">
        <v>157</v>
      </c>
      <c r="N42" s="5">
        <v>9</v>
      </c>
      <c r="O42" s="5">
        <v>1</v>
      </c>
      <c r="Q42" s="5">
        <v>1</v>
      </c>
      <c r="R42" s="5">
        <v>10</v>
      </c>
      <c r="S42" s="5" t="s">
        <v>89</v>
      </c>
      <c r="T42" s="4" t="s">
        <v>73</v>
      </c>
      <c r="U42" s="4" t="s">
        <v>24</v>
      </c>
      <c r="V42" s="6">
        <v>156.4</v>
      </c>
      <c r="W42" s="6">
        <v>244.7</v>
      </c>
      <c r="X42" s="6">
        <v>242.4</v>
      </c>
      <c r="Y42" s="6">
        <f>AVERAGE(Table5[[#This Row],[23 Pts]:[25 Proj]])</f>
        <v>146.5</v>
      </c>
      <c r="Z42" s="49">
        <f>Table5[[#This Row],[Avg]]/17</f>
        <v>8.617647058823529</v>
      </c>
      <c r="AA42" s="4" t="s">
        <v>148</v>
      </c>
      <c r="AB42" s="5">
        <v>10</v>
      </c>
      <c r="AC42" s="5">
        <v>1</v>
      </c>
      <c r="AE42" s="5">
        <v>1</v>
      </c>
      <c r="AF42" s="5">
        <v>11</v>
      </c>
      <c r="AG42" s="5" t="s">
        <v>344</v>
      </c>
      <c r="AH42" s="4" t="s">
        <v>44</v>
      </c>
      <c r="AI42" s="4" t="s">
        <v>35</v>
      </c>
      <c r="AJ42" s="6">
        <v>137.6</v>
      </c>
      <c r="AK42" s="6">
        <v>222.1</v>
      </c>
      <c r="AL42" s="6">
        <v>219.7</v>
      </c>
      <c r="AM42" s="6">
        <f>AVERAGE(Table5[[#This Row],[23 Pts]:[25 Proj]])</f>
        <v>146.5</v>
      </c>
      <c r="AN42" s="49">
        <f>Table5[[#This Row],[Avg]]/17</f>
        <v>8.617647058823529</v>
      </c>
      <c r="AO42" s="4" t="s">
        <v>149</v>
      </c>
      <c r="AP42" s="5">
        <v>11</v>
      </c>
      <c r="AQ42" s="5">
        <v>1</v>
      </c>
      <c r="AS42" s="5">
        <v>1</v>
      </c>
      <c r="AT42" s="5">
        <v>12</v>
      </c>
      <c r="AU42" s="5" t="s">
        <v>129</v>
      </c>
      <c r="AV42" s="4" t="s">
        <v>44</v>
      </c>
      <c r="AW42" s="4" t="s">
        <v>24</v>
      </c>
      <c r="AX42" s="6">
        <v>53.5</v>
      </c>
      <c r="AY42" s="6">
        <v>255</v>
      </c>
      <c r="AZ42" s="6">
        <v>220</v>
      </c>
      <c r="BA42" s="6">
        <f>AVERAGE(Table5[[#This Row],[23 Pts]:[25 Proj]])</f>
        <v>146.5</v>
      </c>
      <c r="BB42" s="49">
        <f>Table5[[#This Row],[Avg]]/17</f>
        <v>8.617647058823529</v>
      </c>
      <c r="BC42" s="4" t="s">
        <v>144</v>
      </c>
      <c r="BD42" s="5">
        <v>12</v>
      </c>
      <c r="BE42" s="5">
        <v>1</v>
      </c>
    </row>
    <row r="43" spans="3:57" x14ac:dyDescent="0.35">
      <c r="C43" s="5">
        <v>2</v>
      </c>
      <c r="D43" s="5">
        <v>16</v>
      </c>
      <c r="E43" s="5" t="s">
        <v>37</v>
      </c>
      <c r="F43" s="4" t="s">
        <v>38</v>
      </c>
      <c r="G43" s="4" t="s">
        <v>24</v>
      </c>
      <c r="H43" s="6">
        <v>255</v>
      </c>
      <c r="I43" s="6">
        <v>272.10000000000002</v>
      </c>
      <c r="J43" s="6">
        <v>225.5</v>
      </c>
      <c r="K43" s="6">
        <f>AVERAGE(Table5[[#This Row],[23 Pts]:[25 Proj]])</f>
        <v>131</v>
      </c>
      <c r="L43" s="49">
        <f>Table5[[#This Row],[Avg]]/17</f>
        <v>7.7058823529411766</v>
      </c>
      <c r="M43" s="4" t="s">
        <v>157</v>
      </c>
      <c r="N43" s="5">
        <v>16</v>
      </c>
      <c r="O43" s="5">
        <v>2</v>
      </c>
      <c r="Q43" s="5">
        <v>2</v>
      </c>
      <c r="R43" s="5">
        <v>15</v>
      </c>
      <c r="S43" s="5" t="s">
        <v>77</v>
      </c>
      <c r="T43" s="4" t="s">
        <v>65</v>
      </c>
      <c r="U43" s="4" t="s">
        <v>424</v>
      </c>
      <c r="V43" s="6" t="s">
        <v>60</v>
      </c>
      <c r="W43" s="6">
        <v>262.7</v>
      </c>
      <c r="X43" s="6">
        <v>238.8</v>
      </c>
      <c r="Y43" s="6">
        <f>AVERAGE(Table5[[#This Row],[23 Pts]:[25 Proj]])</f>
        <v>131</v>
      </c>
      <c r="Z43" s="49">
        <f>Table5[[#This Row],[Avg]]/17</f>
        <v>7.7058823529411766</v>
      </c>
      <c r="AA43" s="4" t="s">
        <v>148</v>
      </c>
      <c r="AB43" s="5">
        <v>15</v>
      </c>
      <c r="AC43" s="5">
        <v>2</v>
      </c>
      <c r="AE43" s="5">
        <v>2</v>
      </c>
      <c r="AF43" s="5">
        <v>14</v>
      </c>
      <c r="AG43" s="5" t="s">
        <v>342</v>
      </c>
      <c r="AH43" s="4" t="s">
        <v>46</v>
      </c>
      <c r="AI43" s="4" t="s">
        <v>35</v>
      </c>
      <c r="AJ43" s="6" t="s">
        <v>60</v>
      </c>
      <c r="AK43" s="6">
        <v>196.5</v>
      </c>
      <c r="AL43" s="6">
        <v>234.8</v>
      </c>
      <c r="AM43" s="6">
        <f>AVERAGE(Table5[[#This Row],[23 Pts]:[25 Proj]])</f>
        <v>131</v>
      </c>
      <c r="AN43" s="49">
        <f>Table5[[#This Row],[Avg]]/17</f>
        <v>7.7058823529411766</v>
      </c>
      <c r="AO43" s="4" t="s">
        <v>149</v>
      </c>
      <c r="AP43" s="5">
        <v>14</v>
      </c>
      <c r="AQ43" s="5">
        <v>2</v>
      </c>
      <c r="AS43" s="5">
        <v>2</v>
      </c>
      <c r="AT43" s="5">
        <v>13</v>
      </c>
      <c r="AU43" s="5" t="s">
        <v>340</v>
      </c>
      <c r="AV43" s="4" t="s">
        <v>79</v>
      </c>
      <c r="AW43" s="4" t="s">
        <v>35</v>
      </c>
      <c r="AX43" s="6" t="s">
        <v>60</v>
      </c>
      <c r="AY43" s="6">
        <v>240.9</v>
      </c>
      <c r="AZ43" s="6">
        <v>242.1</v>
      </c>
      <c r="BA43" s="6">
        <f>AVERAGE(Table5[[#This Row],[23 Pts]:[25 Proj]])</f>
        <v>131</v>
      </c>
      <c r="BB43" s="49">
        <f>Table5[[#This Row],[Avg]]/17</f>
        <v>7.7058823529411766</v>
      </c>
      <c r="BC43" s="4" t="s">
        <v>144</v>
      </c>
      <c r="BD43" s="5">
        <v>13</v>
      </c>
      <c r="BE43" s="5">
        <v>2</v>
      </c>
    </row>
    <row r="44" spans="3:57" x14ac:dyDescent="0.35">
      <c r="C44" s="5">
        <v>3</v>
      </c>
      <c r="D44" s="5">
        <v>33</v>
      </c>
      <c r="E44" s="5" t="s">
        <v>351</v>
      </c>
      <c r="F44" s="4" t="s">
        <v>18</v>
      </c>
      <c r="G44" s="4" t="s">
        <v>35</v>
      </c>
      <c r="H44" s="6">
        <v>227.6</v>
      </c>
      <c r="I44" s="6">
        <v>199.4</v>
      </c>
      <c r="J44" s="6">
        <v>205</v>
      </c>
      <c r="K44" s="6">
        <f>AVERAGE(Table5[[#This Row],[23 Pts]:[25 Proj]])</f>
        <v>136.30000000000001</v>
      </c>
      <c r="L44" s="49">
        <f>Table5[[#This Row],[Avg]]/17</f>
        <v>8.0176470588235293</v>
      </c>
      <c r="M44" s="4" t="s">
        <v>157</v>
      </c>
      <c r="N44" s="5">
        <v>33</v>
      </c>
      <c r="O44" s="5">
        <v>3</v>
      </c>
      <c r="Q44" s="5">
        <v>3</v>
      </c>
      <c r="R44" s="5">
        <v>34</v>
      </c>
      <c r="S44" s="5" t="s">
        <v>119</v>
      </c>
      <c r="T44" s="4" t="s">
        <v>104</v>
      </c>
      <c r="U44" s="4" t="s">
        <v>24</v>
      </c>
      <c r="V44" s="6">
        <v>182.5</v>
      </c>
      <c r="W44" s="6">
        <v>241.6</v>
      </c>
      <c r="X44" s="6">
        <v>214.8</v>
      </c>
      <c r="Y44" s="6">
        <f>AVERAGE(Table5[[#This Row],[23 Pts]:[25 Proj]])</f>
        <v>136.30000000000001</v>
      </c>
      <c r="Z44" s="49">
        <f>Table5[[#This Row],[Avg]]/17</f>
        <v>8.0176470588235293</v>
      </c>
      <c r="AA44" s="4" t="s">
        <v>148</v>
      </c>
      <c r="AB44" s="5">
        <v>34</v>
      </c>
      <c r="AC44" s="5">
        <v>3</v>
      </c>
      <c r="AE44" s="5">
        <v>3</v>
      </c>
      <c r="AF44" s="5">
        <v>35</v>
      </c>
      <c r="AG44" s="5" t="s">
        <v>80</v>
      </c>
      <c r="AH44" s="4" t="s">
        <v>81</v>
      </c>
      <c r="AI44" s="4" t="s">
        <v>24</v>
      </c>
      <c r="AJ44" s="6">
        <v>222.6</v>
      </c>
      <c r="AK44" s="6">
        <v>200.7</v>
      </c>
      <c r="AL44" s="6">
        <v>179.3</v>
      </c>
      <c r="AM44" s="6">
        <f>AVERAGE(Table5[[#This Row],[23 Pts]:[25 Proj]])</f>
        <v>136.30000000000001</v>
      </c>
      <c r="AN44" s="49">
        <f>Table5[[#This Row],[Avg]]/17</f>
        <v>8.0176470588235293</v>
      </c>
      <c r="AO44" s="4" t="s">
        <v>149</v>
      </c>
      <c r="AP44" s="5">
        <v>35</v>
      </c>
      <c r="AQ44" s="5">
        <v>3</v>
      </c>
      <c r="AS44" s="5">
        <v>3</v>
      </c>
      <c r="AT44" s="5">
        <v>36</v>
      </c>
      <c r="AU44" s="5" t="s">
        <v>347</v>
      </c>
      <c r="AV44" s="4" t="s">
        <v>55</v>
      </c>
      <c r="AW44" s="4" t="s">
        <v>35</v>
      </c>
      <c r="AX44" s="6">
        <v>286.5</v>
      </c>
      <c r="AY44" s="6">
        <v>238.1</v>
      </c>
      <c r="AZ44" s="6">
        <v>211.3</v>
      </c>
      <c r="BA44" s="6">
        <f>AVERAGE(Table5[[#This Row],[23 Pts]:[25 Proj]])</f>
        <v>136.30000000000001</v>
      </c>
      <c r="BB44" s="49">
        <f>Table5[[#This Row],[Avg]]/17</f>
        <v>8.0176470588235293</v>
      </c>
      <c r="BC44" s="4" t="s">
        <v>144</v>
      </c>
      <c r="BD44" s="5">
        <v>36</v>
      </c>
      <c r="BE44" s="5">
        <v>3</v>
      </c>
    </row>
    <row r="45" spans="3:57" x14ac:dyDescent="0.35">
      <c r="C45" s="5">
        <v>4</v>
      </c>
      <c r="D45" s="5">
        <v>40</v>
      </c>
      <c r="E45" s="5" t="s">
        <v>50</v>
      </c>
      <c r="F45" s="4" t="s">
        <v>51</v>
      </c>
      <c r="G45" s="4" t="s">
        <v>424</v>
      </c>
      <c r="H45" s="6">
        <v>219</v>
      </c>
      <c r="I45" s="6">
        <v>86.5</v>
      </c>
      <c r="J45" s="6">
        <v>172.8</v>
      </c>
      <c r="K45" s="6">
        <f>AVERAGE(Table5[[#This Row],[23 Pts]:[25 Proj]])</f>
        <v>131.33333333333334</v>
      </c>
      <c r="L45" s="49">
        <f>Table5[[#This Row],[Avg]]/17</f>
        <v>7.7254901960784323</v>
      </c>
      <c r="M45" s="4" t="s">
        <v>157</v>
      </c>
      <c r="N45" s="5">
        <v>40</v>
      </c>
      <c r="O45" s="5">
        <v>4</v>
      </c>
      <c r="Q45" s="5">
        <v>4</v>
      </c>
      <c r="R45" s="5">
        <v>39</v>
      </c>
      <c r="S45" s="5" t="s">
        <v>345</v>
      </c>
      <c r="T45" s="4" t="s">
        <v>38</v>
      </c>
      <c r="U45" s="4" t="s">
        <v>35</v>
      </c>
      <c r="V45" s="6">
        <v>265.39999999999998</v>
      </c>
      <c r="W45" s="6">
        <v>241.3</v>
      </c>
      <c r="X45" s="6">
        <v>217.8</v>
      </c>
      <c r="Y45" s="6">
        <f>AVERAGE(Table5[[#This Row],[23 Pts]:[25 Proj]])</f>
        <v>131.33333333333334</v>
      </c>
      <c r="Z45" s="49">
        <f>Table5[[#This Row],[Avg]]/17</f>
        <v>7.7254901960784323</v>
      </c>
      <c r="AA45" s="4" t="s">
        <v>148</v>
      </c>
      <c r="AB45" s="5">
        <v>39</v>
      </c>
      <c r="AC45" s="5">
        <v>4</v>
      </c>
      <c r="AE45" s="5">
        <v>4</v>
      </c>
      <c r="AF45" s="5">
        <v>38</v>
      </c>
      <c r="AG45" s="5" t="s">
        <v>227</v>
      </c>
      <c r="AH45" s="4" t="s">
        <v>23</v>
      </c>
      <c r="AI45" s="4" t="s">
        <v>424</v>
      </c>
      <c r="AJ45" s="6">
        <v>135.4</v>
      </c>
      <c r="AK45" s="6">
        <v>188.8</v>
      </c>
      <c r="AL45" s="6">
        <v>165.5</v>
      </c>
      <c r="AM45" s="6">
        <f>AVERAGE(Table5[[#This Row],[23 Pts]:[25 Proj]])</f>
        <v>131.33333333333334</v>
      </c>
      <c r="AN45" s="49">
        <f>Table5[[#This Row],[Avg]]/17</f>
        <v>7.7254901960784323</v>
      </c>
      <c r="AO45" s="4" t="s">
        <v>149</v>
      </c>
      <c r="AP45" s="5">
        <v>38</v>
      </c>
      <c r="AQ45" s="5">
        <v>4</v>
      </c>
      <c r="AS45" s="5">
        <v>4</v>
      </c>
      <c r="AT45" s="5">
        <v>37</v>
      </c>
      <c r="AU45" s="5" t="s">
        <v>19</v>
      </c>
      <c r="AV45" s="4" t="s">
        <v>20</v>
      </c>
      <c r="AW45" s="4" t="s">
        <v>24</v>
      </c>
      <c r="AX45" s="6">
        <v>290.5</v>
      </c>
      <c r="AY45" s="6">
        <v>240.9</v>
      </c>
      <c r="AZ45" s="6">
        <v>219.1</v>
      </c>
      <c r="BA45" s="6">
        <f>AVERAGE(Table5[[#This Row],[23 Pts]:[25 Proj]])</f>
        <v>131.33333333333334</v>
      </c>
      <c r="BB45" s="49">
        <f>Table5[[#This Row],[Avg]]/17</f>
        <v>7.7254901960784323</v>
      </c>
      <c r="BC45" s="4" t="s">
        <v>144</v>
      </c>
      <c r="BD45" s="5">
        <v>37</v>
      </c>
      <c r="BE45" s="5">
        <v>4</v>
      </c>
    </row>
    <row r="46" spans="3:57" x14ac:dyDescent="0.35">
      <c r="C46" s="5">
        <v>5</v>
      </c>
      <c r="D46" s="5">
        <v>57</v>
      </c>
      <c r="E46" s="5" t="s">
        <v>355</v>
      </c>
      <c r="F46" s="4" t="s">
        <v>81</v>
      </c>
      <c r="G46" s="4" t="s">
        <v>35</v>
      </c>
      <c r="H46" s="6">
        <v>229.9</v>
      </c>
      <c r="I46" s="6">
        <v>199.2</v>
      </c>
      <c r="J46" s="6">
        <v>199.4</v>
      </c>
      <c r="K46" s="6">
        <f>AVERAGE(Table5[[#This Row],[23 Pts]:[25 Proj]])</f>
        <v>284.16000000000003</v>
      </c>
      <c r="L46" s="49">
        <f>Table5[[#This Row],[Avg]]/17</f>
        <v>16.715294117647062</v>
      </c>
      <c r="M46" s="4" t="s">
        <v>157</v>
      </c>
      <c r="N46" s="5">
        <v>57</v>
      </c>
      <c r="O46" s="5">
        <v>5</v>
      </c>
      <c r="Q46" s="5">
        <v>5</v>
      </c>
      <c r="R46" s="5">
        <v>58</v>
      </c>
      <c r="S46" s="5" t="s">
        <v>64</v>
      </c>
      <c r="T46" s="4" t="s">
        <v>22</v>
      </c>
      <c r="U46" s="4" t="s">
        <v>24</v>
      </c>
      <c r="V46" s="6">
        <v>213.9</v>
      </c>
      <c r="W46" s="6">
        <v>56.9</v>
      </c>
      <c r="X46" s="6">
        <v>179.5</v>
      </c>
      <c r="Y46" s="6">
        <f>AVERAGE(Table5[[#This Row],[23 Pts]:[25 Proj]])</f>
        <v>284.16000000000003</v>
      </c>
      <c r="Z46" s="49">
        <f>Table5[[#This Row],[Avg]]/17</f>
        <v>16.715294117647062</v>
      </c>
      <c r="AA46" s="4" t="s">
        <v>148</v>
      </c>
      <c r="AB46" s="5">
        <v>58</v>
      </c>
      <c r="AC46" s="5">
        <v>5</v>
      </c>
      <c r="AE46" s="5">
        <v>5</v>
      </c>
      <c r="AF46" s="5">
        <v>59</v>
      </c>
      <c r="AG46" s="5" t="s">
        <v>70</v>
      </c>
      <c r="AH46" s="4" t="s">
        <v>42</v>
      </c>
      <c r="AI46" s="4" t="s">
        <v>10</v>
      </c>
      <c r="AJ46" s="6">
        <v>284.06</v>
      </c>
      <c r="AK46" s="6">
        <v>381.8</v>
      </c>
      <c r="AL46" s="6">
        <v>307.99</v>
      </c>
      <c r="AM46" s="6">
        <f>AVERAGE(Table5[[#This Row],[23 Pts]:[25 Proj]])</f>
        <v>284.16000000000003</v>
      </c>
      <c r="AN46" s="49">
        <f>Table5[[#This Row],[Avg]]/17</f>
        <v>16.715294117647062</v>
      </c>
      <c r="AO46" s="4" t="s">
        <v>149</v>
      </c>
      <c r="AP46" s="5">
        <v>59</v>
      </c>
      <c r="AQ46" s="5">
        <v>5</v>
      </c>
      <c r="AS46" s="5">
        <v>5</v>
      </c>
      <c r="AT46" s="5">
        <v>60</v>
      </c>
      <c r="AU46" s="5" t="s">
        <v>228</v>
      </c>
      <c r="AV46" s="4" t="s">
        <v>22</v>
      </c>
      <c r="AW46" s="4" t="s">
        <v>424</v>
      </c>
      <c r="AX46" s="6">
        <v>219.4</v>
      </c>
      <c r="AY46" s="6">
        <v>195.4</v>
      </c>
      <c r="AZ46" s="6">
        <v>165.2</v>
      </c>
      <c r="BA46" s="6">
        <f>AVERAGE(Table5[[#This Row],[23 Pts]:[25 Proj]])</f>
        <v>284.16000000000003</v>
      </c>
      <c r="BB46" s="49">
        <f>Table5[[#This Row],[Avg]]/17</f>
        <v>16.715294117647062</v>
      </c>
      <c r="BC46" s="4" t="s">
        <v>144</v>
      </c>
      <c r="BD46" s="5">
        <v>60</v>
      </c>
      <c r="BE46" s="5">
        <v>5</v>
      </c>
    </row>
    <row r="47" spans="3:57" x14ac:dyDescent="0.35">
      <c r="C47" s="5">
        <v>6</v>
      </c>
      <c r="D47" s="5">
        <v>64</v>
      </c>
      <c r="E47" s="5" t="s">
        <v>357</v>
      </c>
      <c r="F47" s="4" t="s">
        <v>27</v>
      </c>
      <c r="G47" s="4" t="s">
        <v>35</v>
      </c>
      <c r="H47" s="6" t="s">
        <v>60</v>
      </c>
      <c r="I47" s="6" t="s">
        <v>60</v>
      </c>
      <c r="J47" s="6">
        <v>195.7</v>
      </c>
      <c r="K47" s="6">
        <f>AVERAGE(Table5[[#This Row],[23 Pts]:[25 Proj]])</f>
        <v>110.1</v>
      </c>
      <c r="L47" s="49">
        <f>Table5[[#This Row],[Avg]]/17</f>
        <v>6.4764705882352942</v>
      </c>
      <c r="M47" s="4" t="s">
        <v>157</v>
      </c>
      <c r="N47" s="5">
        <v>64</v>
      </c>
      <c r="O47" s="5">
        <v>6</v>
      </c>
      <c r="Q47" s="5">
        <v>6</v>
      </c>
      <c r="R47" s="5">
        <v>63</v>
      </c>
      <c r="S47" s="5" t="s">
        <v>29</v>
      </c>
      <c r="T47" s="4" t="s">
        <v>14</v>
      </c>
      <c r="U47" s="4" t="s">
        <v>10</v>
      </c>
      <c r="V47" s="6">
        <v>351.84</v>
      </c>
      <c r="W47" s="6">
        <v>124.52</v>
      </c>
      <c r="X47" s="6">
        <v>283.10000000000002</v>
      </c>
      <c r="Y47" s="6">
        <f>AVERAGE(Table5[[#This Row],[23 Pts]:[25 Proj]])</f>
        <v>110.1</v>
      </c>
      <c r="Z47" s="49">
        <f>Table5[[#This Row],[Avg]]/17</f>
        <v>6.4764705882352942</v>
      </c>
      <c r="AA47" s="4" t="s">
        <v>148</v>
      </c>
      <c r="AB47" s="5">
        <v>63</v>
      </c>
      <c r="AC47" s="5">
        <v>6</v>
      </c>
      <c r="AE47" s="5">
        <v>6</v>
      </c>
      <c r="AF47" s="5">
        <v>62</v>
      </c>
      <c r="AG47" s="5" t="s">
        <v>182</v>
      </c>
      <c r="AH47" s="4" t="s">
        <v>51</v>
      </c>
      <c r="AI47" s="4" t="s">
        <v>24</v>
      </c>
      <c r="AJ47" s="6">
        <v>134.9</v>
      </c>
      <c r="AK47" s="6">
        <v>241.6</v>
      </c>
      <c r="AL47" s="6">
        <v>176.8</v>
      </c>
      <c r="AM47" s="6">
        <f>AVERAGE(Table5[[#This Row],[23 Pts]:[25 Proj]])</f>
        <v>110.1</v>
      </c>
      <c r="AN47" s="49">
        <f>Table5[[#This Row],[Avg]]/17</f>
        <v>6.4764705882352942</v>
      </c>
      <c r="AO47" s="4" t="s">
        <v>149</v>
      </c>
      <c r="AP47" s="5">
        <v>62</v>
      </c>
      <c r="AQ47" s="5">
        <v>6</v>
      </c>
      <c r="AS47" s="5">
        <v>6</v>
      </c>
      <c r="AT47" s="5">
        <v>61</v>
      </c>
      <c r="AU47" s="5" t="s">
        <v>368</v>
      </c>
      <c r="AV47" s="4" t="s">
        <v>12</v>
      </c>
      <c r="AW47" s="4" t="s">
        <v>35</v>
      </c>
      <c r="AX47" s="6" t="s">
        <v>60</v>
      </c>
      <c r="AY47" s="6">
        <v>93.5</v>
      </c>
      <c r="AZ47" s="6">
        <v>173.9</v>
      </c>
      <c r="BA47" s="6">
        <f>AVERAGE(Table5[[#This Row],[23 Pts]:[25 Proj]])</f>
        <v>110.1</v>
      </c>
      <c r="BB47" s="49">
        <f>Table5[[#This Row],[Avg]]/17</f>
        <v>6.4764705882352942</v>
      </c>
      <c r="BC47" s="4" t="s">
        <v>144</v>
      </c>
      <c r="BD47" s="5">
        <v>61</v>
      </c>
      <c r="BE47" s="5">
        <v>6</v>
      </c>
    </row>
    <row r="48" spans="3:57" x14ac:dyDescent="0.35">
      <c r="C48" s="5">
        <v>7</v>
      </c>
      <c r="D48" s="5">
        <v>81</v>
      </c>
      <c r="E48" s="5" t="s">
        <v>364</v>
      </c>
      <c r="F48" s="4" t="s">
        <v>59</v>
      </c>
      <c r="G48" s="4" t="s">
        <v>35</v>
      </c>
      <c r="H48" s="6">
        <v>243.7</v>
      </c>
      <c r="I48" s="6">
        <v>153.6</v>
      </c>
      <c r="J48" s="6">
        <v>184.6</v>
      </c>
      <c r="K48" s="6">
        <f>AVERAGE(Table5[[#This Row],[23 Pts]:[25 Proj]])</f>
        <v>105</v>
      </c>
      <c r="L48" s="49">
        <f>Table5[[#This Row],[Avg]]/17</f>
        <v>6.1764705882352944</v>
      </c>
      <c r="M48" s="4" t="s">
        <v>157</v>
      </c>
      <c r="N48" s="5">
        <v>81</v>
      </c>
      <c r="O48" s="5">
        <v>7</v>
      </c>
      <c r="Q48" s="5">
        <v>7</v>
      </c>
      <c r="R48" s="5">
        <v>82</v>
      </c>
      <c r="S48" s="5" t="s">
        <v>369</v>
      </c>
      <c r="T48" s="4" t="s">
        <v>83</v>
      </c>
      <c r="U48" s="4" t="s">
        <v>35</v>
      </c>
      <c r="V48" s="6">
        <v>273.8</v>
      </c>
      <c r="W48" s="6">
        <v>121.92</v>
      </c>
      <c r="X48" s="6">
        <v>173.7</v>
      </c>
      <c r="Y48" s="6">
        <f>AVERAGE(Table5[[#This Row],[23 Pts]:[25 Proj]])</f>
        <v>105</v>
      </c>
      <c r="Z48" s="49">
        <f>Table5[[#This Row],[Avg]]/17</f>
        <v>6.1764705882352944</v>
      </c>
      <c r="AA48" s="4" t="s">
        <v>148</v>
      </c>
      <c r="AB48" s="5">
        <v>82</v>
      </c>
      <c r="AC48" s="5">
        <v>7</v>
      </c>
      <c r="AE48" s="5">
        <v>7</v>
      </c>
      <c r="AF48" s="5">
        <v>83</v>
      </c>
      <c r="AG48" s="5" t="s">
        <v>358</v>
      </c>
      <c r="AH48" s="4" t="s">
        <v>34</v>
      </c>
      <c r="AI48" s="4" t="s">
        <v>35</v>
      </c>
      <c r="AJ48" s="6">
        <v>141.80000000000001</v>
      </c>
      <c r="AK48" s="6">
        <v>240.9</v>
      </c>
      <c r="AL48" s="6">
        <v>195</v>
      </c>
      <c r="AM48" s="6">
        <f>AVERAGE(Table5[[#This Row],[23 Pts]:[25 Proj]])</f>
        <v>105</v>
      </c>
      <c r="AN48" s="49">
        <f>Table5[[#This Row],[Avg]]/17</f>
        <v>6.1764705882352944</v>
      </c>
      <c r="AO48" s="4" t="s">
        <v>149</v>
      </c>
      <c r="AP48" s="5">
        <v>83</v>
      </c>
      <c r="AQ48" s="5">
        <v>7</v>
      </c>
      <c r="AS48" s="5">
        <v>7</v>
      </c>
      <c r="AT48" s="5">
        <v>84</v>
      </c>
      <c r="AU48" s="5" t="s">
        <v>47</v>
      </c>
      <c r="AV48" s="4" t="s">
        <v>48</v>
      </c>
      <c r="AW48" s="4" t="s">
        <v>10</v>
      </c>
      <c r="AX48" s="6">
        <v>281.02</v>
      </c>
      <c r="AY48" s="6">
        <v>232.38</v>
      </c>
      <c r="AZ48" s="6">
        <v>280.69</v>
      </c>
      <c r="BA48" s="6">
        <f>AVERAGE(Table5[[#This Row],[23 Pts]:[25 Proj]])</f>
        <v>105</v>
      </c>
      <c r="BB48" s="49">
        <f>Table5[[#This Row],[Avg]]/17</f>
        <v>6.1764705882352944</v>
      </c>
      <c r="BC48" s="4" t="s">
        <v>144</v>
      </c>
      <c r="BD48" s="5">
        <v>84</v>
      </c>
      <c r="BE48" s="5">
        <v>7</v>
      </c>
    </row>
    <row r="49" spans="3:57" x14ac:dyDescent="0.35">
      <c r="C49" s="5">
        <v>8</v>
      </c>
      <c r="D49" s="5">
        <v>88</v>
      </c>
      <c r="E49" s="5" t="s">
        <v>113</v>
      </c>
      <c r="F49" s="4" t="s">
        <v>59</v>
      </c>
      <c r="G49" s="4" t="s">
        <v>24</v>
      </c>
      <c r="H49" s="6">
        <v>185.4</v>
      </c>
      <c r="I49" s="6">
        <v>132.30000000000001</v>
      </c>
      <c r="J49" s="6">
        <v>117.5</v>
      </c>
      <c r="K49" s="6">
        <f>AVERAGE(Table5[[#This Row],[23 Pts]:[25 Proj]])</f>
        <v>125.33333333333333</v>
      </c>
      <c r="L49" s="49">
        <f>Table5[[#This Row],[Avg]]/17</f>
        <v>7.3725490196078427</v>
      </c>
      <c r="M49" s="4" t="s">
        <v>157</v>
      </c>
      <c r="N49" s="5">
        <v>88</v>
      </c>
      <c r="O49" s="5">
        <v>8</v>
      </c>
      <c r="Q49" s="5">
        <v>8</v>
      </c>
      <c r="R49" s="5">
        <v>87</v>
      </c>
      <c r="S49" s="5" t="s">
        <v>360</v>
      </c>
      <c r="T49" s="4" t="s">
        <v>12</v>
      </c>
      <c r="U49" s="4" t="s">
        <v>35</v>
      </c>
      <c r="V49" s="6">
        <v>51.5</v>
      </c>
      <c r="W49" s="6">
        <v>210.5</v>
      </c>
      <c r="X49" s="6">
        <v>193.1</v>
      </c>
      <c r="Y49" s="6">
        <f>AVERAGE(Table5[[#This Row],[23 Pts]:[25 Proj]])</f>
        <v>125.33333333333333</v>
      </c>
      <c r="Z49" s="49">
        <f>Table5[[#This Row],[Avg]]/17</f>
        <v>7.3725490196078427</v>
      </c>
      <c r="AA49" s="4" t="s">
        <v>148</v>
      </c>
      <c r="AB49" s="5">
        <v>87</v>
      </c>
      <c r="AC49" s="5">
        <v>8</v>
      </c>
      <c r="AE49" s="5">
        <v>8</v>
      </c>
      <c r="AF49" s="5">
        <v>86</v>
      </c>
      <c r="AG49" s="5" t="s">
        <v>366</v>
      </c>
      <c r="AH49" s="4" t="s">
        <v>51</v>
      </c>
      <c r="AI49" s="4" t="s">
        <v>35</v>
      </c>
      <c r="AJ49" s="6">
        <v>221.3</v>
      </c>
      <c r="AK49" s="6">
        <v>212.5</v>
      </c>
      <c r="AL49" s="6">
        <v>177.7</v>
      </c>
      <c r="AM49" s="6">
        <f>AVERAGE(Table5[[#This Row],[23 Pts]:[25 Proj]])</f>
        <v>125.33333333333333</v>
      </c>
      <c r="AN49" s="49">
        <f>Table5[[#This Row],[Avg]]/17</f>
        <v>7.3725490196078427</v>
      </c>
      <c r="AO49" s="4" t="s">
        <v>149</v>
      </c>
      <c r="AP49" s="5">
        <v>86</v>
      </c>
      <c r="AQ49" s="5">
        <v>8</v>
      </c>
      <c r="AS49" s="5">
        <v>8</v>
      </c>
      <c r="AT49" s="5">
        <v>85</v>
      </c>
      <c r="AU49" s="5" t="s">
        <v>138</v>
      </c>
      <c r="AV49" s="4" t="s">
        <v>94</v>
      </c>
      <c r="AW49" s="4" t="s">
        <v>24</v>
      </c>
      <c r="AX49" s="6">
        <v>11.7</v>
      </c>
      <c r="AY49" s="6">
        <v>191.8</v>
      </c>
      <c r="AZ49" s="6">
        <v>132.69999999999999</v>
      </c>
      <c r="BA49" s="6">
        <f>AVERAGE(Table5[[#This Row],[23 Pts]:[25 Proj]])</f>
        <v>125.33333333333333</v>
      </c>
      <c r="BB49" s="49">
        <f>Table5[[#This Row],[Avg]]/17</f>
        <v>7.3725490196078427</v>
      </c>
      <c r="BC49" s="4" t="s">
        <v>144</v>
      </c>
      <c r="BD49" s="5">
        <v>85</v>
      </c>
      <c r="BE49" s="5">
        <v>8</v>
      </c>
    </row>
    <row r="50" spans="3:57" x14ac:dyDescent="0.35">
      <c r="C50" s="5">
        <v>9</v>
      </c>
      <c r="D50" s="5">
        <v>105</v>
      </c>
      <c r="E50" s="5" t="s">
        <v>367</v>
      </c>
      <c r="F50" s="4" t="s">
        <v>40</v>
      </c>
      <c r="G50" s="4" t="s">
        <v>35</v>
      </c>
      <c r="H50" s="6">
        <v>217.2</v>
      </c>
      <c r="I50" s="6">
        <v>197</v>
      </c>
      <c r="J50" s="6">
        <v>174.7</v>
      </c>
      <c r="K50" s="6">
        <f>AVERAGE(Table5[[#This Row],[23 Pts]:[25 Proj]])</f>
        <v>276.39999999999998</v>
      </c>
      <c r="L50" s="49">
        <f>Table5[[#This Row],[Avg]]/17</f>
        <v>16.258823529411764</v>
      </c>
      <c r="M50" s="4" t="s">
        <v>157</v>
      </c>
      <c r="N50" s="5">
        <v>105</v>
      </c>
      <c r="O50" s="5">
        <v>9</v>
      </c>
      <c r="Q50" s="5">
        <v>9</v>
      </c>
      <c r="R50" s="5">
        <v>106</v>
      </c>
      <c r="S50" s="5" t="s">
        <v>111</v>
      </c>
      <c r="T50" s="4" t="s">
        <v>20</v>
      </c>
      <c r="U50" s="4" t="s">
        <v>10</v>
      </c>
      <c r="V50" s="6">
        <v>239.18</v>
      </c>
      <c r="W50" s="6">
        <v>120.14</v>
      </c>
      <c r="X50" s="6">
        <v>289.14</v>
      </c>
      <c r="Y50" s="6">
        <f>AVERAGE(Table5[[#This Row],[23 Pts]:[25 Proj]])</f>
        <v>276.39999999999998</v>
      </c>
      <c r="Z50" s="49">
        <f>Table5[[#This Row],[Avg]]/17</f>
        <v>16.258823529411764</v>
      </c>
      <c r="AA50" s="4" t="s">
        <v>148</v>
      </c>
      <c r="AB50" s="5">
        <v>106</v>
      </c>
      <c r="AC50" s="5">
        <v>9</v>
      </c>
      <c r="AE50" s="5">
        <v>9</v>
      </c>
      <c r="AF50" s="5">
        <v>107</v>
      </c>
      <c r="AG50" s="5" t="s">
        <v>274</v>
      </c>
      <c r="AH50" s="4" t="s">
        <v>94</v>
      </c>
      <c r="AI50" s="4" t="s">
        <v>1</v>
      </c>
      <c r="AJ50" s="6">
        <v>118</v>
      </c>
      <c r="AK50" s="6">
        <v>141</v>
      </c>
      <c r="AL50" s="6">
        <v>181</v>
      </c>
      <c r="AM50" s="6">
        <f>AVERAGE(Table5[[#This Row],[23 Pts]:[25 Proj]])</f>
        <v>276.39999999999998</v>
      </c>
      <c r="AN50" s="49">
        <f>Table5[[#This Row],[Avg]]/17</f>
        <v>16.258823529411764</v>
      </c>
      <c r="AO50" s="4" t="s">
        <v>149</v>
      </c>
      <c r="AP50" s="5">
        <v>107</v>
      </c>
      <c r="AQ50" s="5">
        <v>9</v>
      </c>
      <c r="AS50" s="5">
        <v>9</v>
      </c>
      <c r="AT50" s="5">
        <v>108</v>
      </c>
      <c r="AU50" s="5" t="s">
        <v>303</v>
      </c>
      <c r="AV50" s="4" t="s">
        <v>14</v>
      </c>
      <c r="AW50" s="4" t="s">
        <v>117</v>
      </c>
      <c r="AX50" s="6">
        <v>181</v>
      </c>
      <c r="AY50" s="6">
        <v>192</v>
      </c>
      <c r="AZ50" s="6">
        <v>164</v>
      </c>
      <c r="BA50" s="6">
        <f>AVERAGE(Table5[[#This Row],[23 Pts]:[25 Proj]])</f>
        <v>276.39999999999998</v>
      </c>
      <c r="BB50" s="49">
        <f>Table5[[#This Row],[Avg]]/17</f>
        <v>16.258823529411764</v>
      </c>
      <c r="BC50" s="4" t="s">
        <v>144</v>
      </c>
      <c r="BD50" s="5">
        <v>108</v>
      </c>
      <c r="BE50" s="5">
        <v>9</v>
      </c>
    </row>
    <row r="51" spans="3:57" x14ac:dyDescent="0.35">
      <c r="C51" s="5">
        <v>10</v>
      </c>
      <c r="D51" s="5">
        <v>112</v>
      </c>
      <c r="E51" s="5" t="s">
        <v>56</v>
      </c>
      <c r="F51" s="4" t="s">
        <v>16</v>
      </c>
      <c r="G51" s="4" t="s">
        <v>10</v>
      </c>
      <c r="H51" s="6">
        <v>301.10000000000002</v>
      </c>
      <c r="I51" s="6">
        <v>336.46</v>
      </c>
      <c r="J51" s="6">
        <v>294.51</v>
      </c>
      <c r="K51" s="6">
        <f>AVERAGE(Table5[[#This Row],[23 Pts]:[25 Proj]])</f>
        <v>250.06666666666669</v>
      </c>
      <c r="L51" s="49">
        <f>Table5[[#This Row],[Avg]]/17</f>
        <v>14.709803921568628</v>
      </c>
      <c r="M51" s="4" t="s">
        <v>157</v>
      </c>
      <c r="N51" s="5">
        <v>112</v>
      </c>
      <c r="O51" s="5">
        <v>10</v>
      </c>
      <c r="Q51" s="5">
        <v>10</v>
      </c>
      <c r="R51" s="5">
        <v>111</v>
      </c>
      <c r="S51" s="5" t="s">
        <v>187</v>
      </c>
      <c r="T51" s="4" t="s">
        <v>27</v>
      </c>
      <c r="U51" s="4" t="s">
        <v>24</v>
      </c>
      <c r="V51" s="6" t="s">
        <v>60</v>
      </c>
      <c r="W51" s="6">
        <v>129</v>
      </c>
      <c r="X51" s="6">
        <v>108.7</v>
      </c>
      <c r="Y51" s="6">
        <f>AVERAGE(Table5[[#This Row],[23 Pts]:[25 Proj]])</f>
        <v>250.06666666666669</v>
      </c>
      <c r="Z51" s="49">
        <f>Table5[[#This Row],[Avg]]/17</f>
        <v>14.709803921568628</v>
      </c>
      <c r="AA51" s="4" t="s">
        <v>148</v>
      </c>
      <c r="AB51" s="5">
        <v>111</v>
      </c>
      <c r="AC51" s="5">
        <v>10</v>
      </c>
      <c r="AE51" s="5">
        <v>10</v>
      </c>
      <c r="AF51" s="5">
        <v>110</v>
      </c>
      <c r="AG51" s="5" t="s">
        <v>403</v>
      </c>
      <c r="AH51" s="4" t="s">
        <v>79</v>
      </c>
      <c r="AI51" s="4" t="s">
        <v>35</v>
      </c>
      <c r="AJ51" s="6">
        <v>278.86</v>
      </c>
      <c r="AK51" s="6">
        <v>185.4</v>
      </c>
      <c r="AL51" s="6">
        <v>101.9</v>
      </c>
      <c r="AM51" s="6">
        <f>AVERAGE(Table5[[#This Row],[23 Pts]:[25 Proj]])</f>
        <v>250.06666666666669</v>
      </c>
      <c r="AN51" s="49">
        <f>Table5[[#This Row],[Avg]]/17</f>
        <v>14.709803921568628</v>
      </c>
      <c r="AO51" s="4" t="s">
        <v>149</v>
      </c>
      <c r="AP51" s="5">
        <v>110</v>
      </c>
      <c r="AQ51" s="5">
        <v>10</v>
      </c>
      <c r="AS51" s="5">
        <v>10</v>
      </c>
      <c r="AT51" s="5">
        <v>109</v>
      </c>
      <c r="AU51" s="5" t="s">
        <v>238</v>
      </c>
      <c r="AV51" s="4" t="s">
        <v>31</v>
      </c>
      <c r="AW51" s="4" t="s">
        <v>424</v>
      </c>
      <c r="AX51" s="6">
        <v>137.30000000000001</v>
      </c>
      <c r="AY51" s="6">
        <v>131.19999999999999</v>
      </c>
      <c r="AZ51" s="6">
        <v>130</v>
      </c>
      <c r="BA51" s="6">
        <f>AVERAGE(Table5[[#This Row],[23 Pts]:[25 Proj]])</f>
        <v>250.06666666666669</v>
      </c>
      <c r="BB51" s="49">
        <f>Table5[[#This Row],[Avg]]/17</f>
        <v>14.709803921568628</v>
      </c>
      <c r="BC51" s="4" t="s">
        <v>144</v>
      </c>
      <c r="BD51" s="5">
        <v>109</v>
      </c>
      <c r="BE51" s="5">
        <v>10</v>
      </c>
    </row>
    <row r="52" spans="3:57" x14ac:dyDescent="0.35">
      <c r="C52" s="5">
        <v>11</v>
      </c>
      <c r="D52" s="5">
        <v>129</v>
      </c>
      <c r="E52" s="5" t="s">
        <v>233</v>
      </c>
      <c r="F52" s="4" t="s">
        <v>14</v>
      </c>
      <c r="G52" s="4" t="s">
        <v>424</v>
      </c>
      <c r="H52" s="6">
        <v>177.1</v>
      </c>
      <c r="I52" s="6">
        <v>104.4</v>
      </c>
      <c r="J52" s="6">
        <v>145.19999999999999</v>
      </c>
      <c r="K52" s="6">
        <f>AVERAGE(Table5[[#This Row],[23 Pts]:[25 Proj]])</f>
        <v>206.63333333333333</v>
      </c>
      <c r="L52" s="49">
        <f>Table5[[#This Row],[Avg]]/17</f>
        <v>12.154901960784313</v>
      </c>
      <c r="M52" s="4" t="s">
        <v>157</v>
      </c>
      <c r="N52" s="5">
        <v>129</v>
      </c>
      <c r="O52" s="5">
        <v>11</v>
      </c>
      <c r="Q52" s="5">
        <v>11</v>
      </c>
      <c r="R52" s="5">
        <v>130</v>
      </c>
      <c r="S52" s="5" t="s">
        <v>237</v>
      </c>
      <c r="T52" s="4" t="s">
        <v>83</v>
      </c>
      <c r="U52" s="4" t="s">
        <v>424</v>
      </c>
      <c r="V52" s="6">
        <v>119.9</v>
      </c>
      <c r="W52" s="6">
        <v>145.4</v>
      </c>
      <c r="X52" s="6">
        <v>132.4</v>
      </c>
      <c r="Y52" s="6">
        <f>AVERAGE(Table5[[#This Row],[23 Pts]:[25 Proj]])</f>
        <v>206.63333333333333</v>
      </c>
      <c r="Z52" s="49">
        <f>Table5[[#This Row],[Avg]]/17</f>
        <v>12.154901960784313</v>
      </c>
      <c r="AA52" s="4" t="s">
        <v>148</v>
      </c>
      <c r="AB52" s="5">
        <v>130</v>
      </c>
      <c r="AC52" s="5">
        <v>11</v>
      </c>
      <c r="AE52" s="5">
        <v>11</v>
      </c>
      <c r="AF52" s="5">
        <v>131</v>
      </c>
      <c r="AG52" s="5" t="s">
        <v>251</v>
      </c>
      <c r="AH52" s="4" t="s">
        <v>21</v>
      </c>
      <c r="AI52" s="4" t="s">
        <v>117</v>
      </c>
      <c r="AJ52" s="6">
        <v>146</v>
      </c>
      <c r="AK52" s="6">
        <v>166</v>
      </c>
      <c r="AL52" s="6">
        <v>133</v>
      </c>
      <c r="AM52" s="6">
        <f>AVERAGE(Table5[[#This Row],[23 Pts]:[25 Proj]])</f>
        <v>206.63333333333333</v>
      </c>
      <c r="AN52" s="49">
        <f>Table5[[#This Row],[Avg]]/17</f>
        <v>12.154901960784313</v>
      </c>
      <c r="AO52" s="4" t="s">
        <v>149</v>
      </c>
      <c r="AP52" s="5">
        <v>131</v>
      </c>
      <c r="AQ52" s="5">
        <v>11</v>
      </c>
      <c r="AS52" s="5">
        <v>11</v>
      </c>
      <c r="AT52" s="5">
        <v>132</v>
      </c>
      <c r="AU52" s="5" t="s">
        <v>373</v>
      </c>
      <c r="AV52" s="4" t="s">
        <v>94</v>
      </c>
      <c r="AW52" s="4" t="s">
        <v>35</v>
      </c>
      <c r="AX52" s="6">
        <v>70.7</v>
      </c>
      <c r="AY52" s="6">
        <v>129.5</v>
      </c>
      <c r="AZ52" s="6">
        <v>170.1</v>
      </c>
      <c r="BA52" s="6">
        <f>AVERAGE(Table5[[#This Row],[23 Pts]:[25 Proj]])</f>
        <v>206.63333333333333</v>
      </c>
      <c r="BB52" s="49">
        <f>Table5[[#This Row],[Avg]]/17</f>
        <v>12.154901960784313</v>
      </c>
      <c r="BC52" s="4" t="s">
        <v>144</v>
      </c>
      <c r="BD52" s="5">
        <v>132</v>
      </c>
      <c r="BE52" s="5">
        <v>11</v>
      </c>
    </row>
    <row r="53" spans="3:57" x14ac:dyDescent="0.35">
      <c r="C53" s="5">
        <v>12</v>
      </c>
      <c r="D53" s="5">
        <v>136</v>
      </c>
      <c r="E53" s="5" t="s">
        <v>304</v>
      </c>
      <c r="F53" s="4" t="s">
        <v>79</v>
      </c>
      <c r="G53" s="4" t="s">
        <v>117</v>
      </c>
      <c r="H53" s="6">
        <v>151</v>
      </c>
      <c r="I53" s="6">
        <v>179</v>
      </c>
      <c r="J53" s="6">
        <v>153</v>
      </c>
      <c r="K53" s="6">
        <f>AVERAGE(Table5[[#This Row],[23 Pts]:[25 Proj]])</f>
        <v>186.93333333333331</v>
      </c>
      <c r="L53" s="49">
        <f>Table5[[#This Row],[Avg]]/17</f>
        <v>10.996078431372547</v>
      </c>
      <c r="M53" s="4" t="s">
        <v>157</v>
      </c>
      <c r="N53" s="5">
        <v>136</v>
      </c>
      <c r="O53" s="5">
        <v>12</v>
      </c>
      <c r="Q53" s="5">
        <v>12</v>
      </c>
      <c r="R53" s="5">
        <v>135</v>
      </c>
      <c r="S53" s="5" t="s">
        <v>370</v>
      </c>
      <c r="T53" s="4" t="s">
        <v>62</v>
      </c>
      <c r="U53" s="4" t="s">
        <v>35</v>
      </c>
      <c r="V53" s="6">
        <v>155.6</v>
      </c>
      <c r="W53" s="6">
        <v>79.8</v>
      </c>
      <c r="X53" s="6">
        <v>173.4</v>
      </c>
      <c r="Y53" s="6">
        <f>AVERAGE(Table5[[#This Row],[23 Pts]:[25 Proj]])</f>
        <v>186.93333333333331</v>
      </c>
      <c r="Z53" s="49">
        <f>Table5[[#This Row],[Avg]]/17</f>
        <v>10.996078431372547</v>
      </c>
      <c r="AA53" s="4" t="s">
        <v>148</v>
      </c>
      <c r="AB53" s="5">
        <v>135</v>
      </c>
      <c r="AC53" s="5">
        <v>12</v>
      </c>
      <c r="AE53" s="5">
        <v>12</v>
      </c>
      <c r="AF53" s="5">
        <v>134</v>
      </c>
      <c r="AG53" s="5" t="s">
        <v>116</v>
      </c>
      <c r="AH53" s="4" t="s">
        <v>52</v>
      </c>
      <c r="AI53" s="4" t="s">
        <v>10</v>
      </c>
      <c r="AJ53" s="6" t="s">
        <v>60</v>
      </c>
      <c r="AK53" s="6">
        <v>267.58</v>
      </c>
      <c r="AL53" s="6">
        <v>246.68</v>
      </c>
      <c r="AM53" s="6">
        <f>AVERAGE(Table5[[#This Row],[23 Pts]:[25 Proj]])</f>
        <v>186.93333333333331</v>
      </c>
      <c r="AN53" s="49">
        <f>Table5[[#This Row],[Avg]]/17</f>
        <v>10.996078431372547</v>
      </c>
      <c r="AO53" s="4" t="s">
        <v>149</v>
      </c>
      <c r="AP53" s="5">
        <v>134</v>
      </c>
      <c r="AQ53" s="5">
        <v>12</v>
      </c>
      <c r="AS53" s="5">
        <v>12</v>
      </c>
      <c r="AT53" s="5">
        <v>133</v>
      </c>
      <c r="AU53" s="5" t="s">
        <v>66</v>
      </c>
      <c r="AV53" s="4" t="s">
        <v>27</v>
      </c>
      <c r="AW53" s="4" t="s">
        <v>10</v>
      </c>
      <c r="AX53" s="6">
        <v>276.54000000000002</v>
      </c>
      <c r="AY53" s="6">
        <v>152.19999999999999</v>
      </c>
      <c r="AZ53" s="6">
        <v>283.43</v>
      </c>
      <c r="BA53" s="6">
        <f>AVERAGE(Table5[[#This Row],[23 Pts]:[25 Proj]])</f>
        <v>186.93333333333331</v>
      </c>
      <c r="BB53" s="49">
        <f>Table5[[#This Row],[Avg]]/17</f>
        <v>10.996078431372547</v>
      </c>
      <c r="BC53" s="4" t="s">
        <v>144</v>
      </c>
      <c r="BD53" s="5">
        <v>133</v>
      </c>
      <c r="BE53" s="5">
        <v>12</v>
      </c>
    </row>
    <row r="54" spans="3:57" x14ac:dyDescent="0.35">
      <c r="C54" s="5">
        <v>13</v>
      </c>
      <c r="D54" s="5">
        <v>153</v>
      </c>
      <c r="E54" s="5" t="s">
        <v>41</v>
      </c>
      <c r="F54" s="4" t="s">
        <v>42</v>
      </c>
      <c r="G54" s="4" t="s">
        <v>24</v>
      </c>
      <c r="H54" s="6">
        <v>267.89999999999998</v>
      </c>
      <c r="I54" s="6">
        <v>199.6</v>
      </c>
      <c r="J54" s="6">
        <v>106.6</v>
      </c>
      <c r="K54" s="6">
        <f>AVERAGE(Table5[[#This Row],[23 Pts]:[25 Proj]])</f>
        <v>191.86666666666667</v>
      </c>
      <c r="L54" s="49">
        <f>Table5[[#This Row],[Avg]]/17</f>
        <v>11.286274509803922</v>
      </c>
      <c r="M54" s="4" t="s">
        <v>157</v>
      </c>
      <c r="N54" s="5">
        <v>153</v>
      </c>
      <c r="O54" s="5">
        <v>13</v>
      </c>
      <c r="Q54" s="5">
        <v>13</v>
      </c>
      <c r="R54" s="5">
        <v>154</v>
      </c>
      <c r="S54" s="5" t="s">
        <v>193</v>
      </c>
      <c r="T54" s="4" t="s">
        <v>34</v>
      </c>
      <c r="U54" s="4" t="s">
        <v>24</v>
      </c>
      <c r="V54" s="6" t="s">
        <v>60</v>
      </c>
      <c r="W54" s="6" t="s">
        <v>60</v>
      </c>
      <c r="X54" s="6">
        <v>78.2</v>
      </c>
      <c r="Y54" s="6">
        <f>AVERAGE(Table5[[#This Row],[23 Pts]:[25 Proj]])</f>
        <v>191.86666666666667</v>
      </c>
      <c r="Z54" s="49">
        <f>Table5[[#This Row],[Avg]]/17</f>
        <v>11.286274509803922</v>
      </c>
      <c r="AA54" s="4" t="s">
        <v>148</v>
      </c>
      <c r="AB54" s="5">
        <v>154</v>
      </c>
      <c r="AC54" s="5">
        <v>13</v>
      </c>
      <c r="AE54" s="5">
        <v>13</v>
      </c>
      <c r="AF54" s="5">
        <v>155</v>
      </c>
      <c r="AG54" s="5" t="s">
        <v>97</v>
      </c>
      <c r="AH54" s="4" t="s">
        <v>79</v>
      </c>
      <c r="AI54" s="4" t="s">
        <v>24</v>
      </c>
      <c r="AJ54" s="6">
        <v>195.5</v>
      </c>
      <c r="AK54" s="6">
        <v>204.6</v>
      </c>
      <c r="AL54" s="6">
        <v>147.1</v>
      </c>
      <c r="AM54" s="6">
        <f>AVERAGE(Table5[[#This Row],[23 Pts]:[25 Proj]])</f>
        <v>191.86666666666667</v>
      </c>
      <c r="AN54" s="49">
        <f>Table5[[#This Row],[Avg]]/17</f>
        <v>11.286274509803922</v>
      </c>
      <c r="AO54" s="4" t="s">
        <v>149</v>
      </c>
      <c r="AP54" s="5">
        <v>155</v>
      </c>
      <c r="AQ54" s="5">
        <v>13</v>
      </c>
      <c r="AS54" s="5">
        <v>13</v>
      </c>
      <c r="AT54" s="5">
        <v>156</v>
      </c>
      <c r="AU54" s="5" t="s">
        <v>109</v>
      </c>
      <c r="AV54" s="4" t="s">
        <v>34</v>
      </c>
      <c r="AW54" s="4" t="s">
        <v>24</v>
      </c>
      <c r="AX54" s="6">
        <v>211.2</v>
      </c>
      <c r="AY54" s="6">
        <v>134</v>
      </c>
      <c r="AZ54" s="6">
        <v>89.6</v>
      </c>
      <c r="BA54" s="6">
        <f>AVERAGE(Table5[[#This Row],[23 Pts]:[25 Proj]])</f>
        <v>191.86666666666667</v>
      </c>
      <c r="BB54" s="49">
        <f>Table5[[#This Row],[Avg]]/17</f>
        <v>11.286274509803922</v>
      </c>
      <c r="BC54" s="4" t="s">
        <v>144</v>
      </c>
      <c r="BD54" s="5">
        <v>156</v>
      </c>
      <c r="BE54" s="5">
        <v>13</v>
      </c>
    </row>
    <row r="55" spans="3:57" x14ac:dyDescent="0.35">
      <c r="C55" s="5">
        <v>14</v>
      </c>
      <c r="D55" s="5">
        <v>160</v>
      </c>
      <c r="E55" s="5" t="s">
        <v>279</v>
      </c>
      <c r="F55" s="4" t="s">
        <v>16</v>
      </c>
      <c r="G55" s="4" t="s">
        <v>1</v>
      </c>
      <c r="H55" s="6">
        <v>109</v>
      </c>
      <c r="I55" s="6">
        <v>128</v>
      </c>
      <c r="J55" s="6">
        <v>117</v>
      </c>
      <c r="K55" s="6">
        <f>AVERAGE(Table5[[#This Row],[23 Pts]:[25 Proj]])</f>
        <v>296.23</v>
      </c>
      <c r="L55" s="49">
        <f>Table5[[#This Row],[Avg]]/17</f>
        <v>17.425294117647059</v>
      </c>
      <c r="M55" s="4" t="s">
        <v>157</v>
      </c>
      <c r="N55" s="5">
        <v>160</v>
      </c>
      <c r="O55" s="5">
        <v>14</v>
      </c>
      <c r="Q55" s="5">
        <v>14</v>
      </c>
      <c r="R55" s="5">
        <v>159</v>
      </c>
      <c r="S55" s="5" t="s">
        <v>275</v>
      </c>
      <c r="T55" s="4" t="s">
        <v>51</v>
      </c>
      <c r="U55" s="4" t="s">
        <v>1</v>
      </c>
      <c r="V55" s="6">
        <v>125</v>
      </c>
      <c r="W55" s="6">
        <v>140</v>
      </c>
      <c r="X55" s="6">
        <v>162</v>
      </c>
      <c r="Y55" s="6">
        <f>AVERAGE(Table5[[#This Row],[23 Pts]:[25 Proj]])</f>
        <v>296.23</v>
      </c>
      <c r="Z55" s="49">
        <f>Table5[[#This Row],[Avg]]/17</f>
        <v>17.425294117647059</v>
      </c>
      <c r="AA55" s="4" t="s">
        <v>148</v>
      </c>
      <c r="AB55" s="5">
        <v>159</v>
      </c>
      <c r="AC55" s="5">
        <v>14</v>
      </c>
      <c r="AE55" s="5">
        <v>14</v>
      </c>
      <c r="AF55" s="5">
        <v>158</v>
      </c>
      <c r="AG55" s="5" t="s">
        <v>74</v>
      </c>
      <c r="AH55" s="4" t="s">
        <v>38</v>
      </c>
      <c r="AI55" s="4" t="s">
        <v>10</v>
      </c>
      <c r="AJ55" s="6">
        <v>254.1</v>
      </c>
      <c r="AK55" s="6">
        <v>222.58</v>
      </c>
      <c r="AL55" s="6">
        <v>245.66</v>
      </c>
      <c r="AM55" s="6">
        <f>AVERAGE(Table5[[#This Row],[23 Pts]:[25 Proj]])</f>
        <v>296.23</v>
      </c>
      <c r="AN55" s="49">
        <f>Table5[[#This Row],[Avg]]/17</f>
        <v>17.425294117647059</v>
      </c>
      <c r="AO55" s="4" t="s">
        <v>149</v>
      </c>
      <c r="AP55" s="5">
        <v>158</v>
      </c>
      <c r="AQ55" s="5">
        <v>14</v>
      </c>
      <c r="AS55" s="5">
        <v>14</v>
      </c>
      <c r="AT55" s="5">
        <v>157</v>
      </c>
      <c r="AU55" s="5" t="s">
        <v>219</v>
      </c>
      <c r="AV55" s="4" t="s">
        <v>48</v>
      </c>
      <c r="AW55" s="4" t="s">
        <v>24</v>
      </c>
      <c r="AX55" s="6" t="s">
        <v>60</v>
      </c>
      <c r="AY55" s="6" t="s">
        <v>60</v>
      </c>
      <c r="AZ55" s="6">
        <v>34.9</v>
      </c>
      <c r="BA55" s="6">
        <f>AVERAGE(Table5[[#This Row],[23 Pts]:[25 Proj]])</f>
        <v>296.23</v>
      </c>
      <c r="BB55" s="49">
        <f>Table5[[#This Row],[Avg]]/17</f>
        <v>17.425294117647059</v>
      </c>
      <c r="BC55" s="4" t="s">
        <v>144</v>
      </c>
      <c r="BD55" s="5">
        <v>157</v>
      </c>
      <c r="BE55" s="5">
        <v>14</v>
      </c>
    </row>
    <row r="56" spans="3:57" x14ac:dyDescent="0.35">
      <c r="C56" s="5">
        <v>15</v>
      </c>
      <c r="D56" s="5">
        <v>177</v>
      </c>
      <c r="E56" s="5" t="s">
        <v>432</v>
      </c>
      <c r="F56" s="4" t="s">
        <v>12</v>
      </c>
      <c r="G56" s="4" t="s">
        <v>10</v>
      </c>
      <c r="H56" s="6" t="s">
        <v>60</v>
      </c>
      <c r="I56" s="6">
        <v>2.68</v>
      </c>
      <c r="J56" s="6">
        <v>12.54</v>
      </c>
      <c r="K56" s="6">
        <f>AVERAGE(Table5[[#This Row],[23 Pts]:[25 Proj]])</f>
        <v>208.74666666666667</v>
      </c>
      <c r="L56" s="49">
        <f>Table5[[#This Row],[Avg]]/17</f>
        <v>12.27921568627451</v>
      </c>
      <c r="M56" s="4" t="s">
        <v>157</v>
      </c>
      <c r="N56" s="5">
        <v>177</v>
      </c>
      <c r="O56" s="5">
        <v>15</v>
      </c>
      <c r="Q56" s="5">
        <v>15</v>
      </c>
      <c r="R56" s="5">
        <v>178</v>
      </c>
      <c r="S56" s="5" t="s">
        <v>308</v>
      </c>
      <c r="T56" s="4" t="s">
        <v>42</v>
      </c>
      <c r="U56" s="4" t="s">
        <v>117</v>
      </c>
      <c r="V56" s="6">
        <v>136</v>
      </c>
      <c r="W56" s="6">
        <v>164</v>
      </c>
      <c r="X56" s="6">
        <v>146</v>
      </c>
      <c r="Y56" s="6">
        <f>AVERAGE(Table5[[#This Row],[23 Pts]:[25 Proj]])</f>
        <v>208.74666666666667</v>
      </c>
      <c r="Z56" s="49">
        <f>Table5[[#This Row],[Avg]]/17</f>
        <v>12.27921568627451</v>
      </c>
      <c r="AA56" s="4" t="s">
        <v>148</v>
      </c>
      <c r="AB56" s="5">
        <v>178</v>
      </c>
      <c r="AC56" s="5">
        <v>15</v>
      </c>
      <c r="AE56" s="5">
        <v>15</v>
      </c>
      <c r="AF56" s="5">
        <v>179</v>
      </c>
      <c r="AG56" s="5" t="s">
        <v>163</v>
      </c>
      <c r="AH56" s="4" t="s">
        <v>34</v>
      </c>
      <c r="AI56" s="4" t="s">
        <v>10</v>
      </c>
      <c r="AJ56" s="6" t="s">
        <v>60</v>
      </c>
      <c r="AK56" s="6" t="s">
        <v>60</v>
      </c>
      <c r="AL56" s="6">
        <v>32.61</v>
      </c>
      <c r="AM56" s="6">
        <f>AVERAGE(Table5[[#This Row],[23 Pts]:[25 Proj]])</f>
        <v>208.74666666666667</v>
      </c>
      <c r="AN56" s="49">
        <f>Table5[[#This Row],[Avg]]/17</f>
        <v>12.27921568627451</v>
      </c>
      <c r="AO56" s="4" t="s">
        <v>149</v>
      </c>
      <c r="AP56" s="5">
        <v>179</v>
      </c>
      <c r="AQ56" s="5">
        <v>15</v>
      </c>
      <c r="AS56" s="5">
        <v>15</v>
      </c>
      <c r="AT56" s="5">
        <v>180</v>
      </c>
      <c r="AU56" s="5" t="s">
        <v>288</v>
      </c>
      <c r="AV56" s="4" t="s">
        <v>59</v>
      </c>
      <c r="AW56" s="4" t="s">
        <v>1</v>
      </c>
      <c r="AX56" s="6">
        <v>64</v>
      </c>
      <c r="AY56" s="6">
        <v>100</v>
      </c>
      <c r="AZ56" s="6">
        <v>90</v>
      </c>
      <c r="BA56" s="6">
        <f>AVERAGE(Table5[[#This Row],[23 Pts]:[25 Proj]])</f>
        <v>208.74666666666667</v>
      </c>
      <c r="BB56" s="49">
        <f>Table5[[#This Row],[Avg]]/17</f>
        <v>12.27921568627451</v>
      </c>
      <c r="BC56" s="4" t="s">
        <v>144</v>
      </c>
      <c r="BD56" s="5">
        <v>180</v>
      </c>
      <c r="BE56" s="5">
        <v>15</v>
      </c>
    </row>
    <row r="57" spans="3:57" x14ac:dyDescent="0.35">
      <c r="C57" s="5">
        <v>16</v>
      </c>
      <c r="D57" s="5">
        <v>184</v>
      </c>
      <c r="E57" s="5" t="s">
        <v>8</v>
      </c>
      <c r="F57" s="4" t="s">
        <v>9</v>
      </c>
      <c r="G57" s="4" t="s">
        <v>10</v>
      </c>
      <c r="H57" s="6">
        <v>410.64</v>
      </c>
      <c r="I57" s="6">
        <v>385.04</v>
      </c>
      <c r="J57" s="6">
        <v>359.06</v>
      </c>
      <c r="K57" s="6">
        <f>AVERAGE(Table5[[#This Row],[23 Pts]:[25 Proj]])</f>
        <v>117.66666666666667</v>
      </c>
      <c r="L57" s="49">
        <f>Table5[[#This Row],[Avg]]/17</f>
        <v>6.9215686274509807</v>
      </c>
      <c r="M57" s="4" t="s">
        <v>157</v>
      </c>
      <c r="N57" s="5">
        <v>184</v>
      </c>
      <c r="O57" s="5">
        <v>16</v>
      </c>
      <c r="Q57" s="5">
        <v>16</v>
      </c>
      <c r="R57" s="5">
        <v>183</v>
      </c>
      <c r="S57" s="5" t="s">
        <v>338</v>
      </c>
      <c r="T57" s="4" t="s">
        <v>87</v>
      </c>
      <c r="U57" s="4" t="s">
        <v>35</v>
      </c>
      <c r="V57" s="6" t="s">
        <v>60</v>
      </c>
      <c r="W57" s="6">
        <v>273.60000000000002</v>
      </c>
      <c r="X57" s="6">
        <v>263.7</v>
      </c>
      <c r="Y57" s="6">
        <f>AVERAGE(Table5[[#This Row],[23 Pts]:[25 Proj]])</f>
        <v>117.66666666666667</v>
      </c>
      <c r="Z57" s="49">
        <f>Table5[[#This Row],[Avg]]/17</f>
        <v>6.9215686274509807</v>
      </c>
      <c r="AA57" s="4" t="s">
        <v>148</v>
      </c>
      <c r="AB57" s="5">
        <v>183</v>
      </c>
      <c r="AC57" s="5">
        <v>16</v>
      </c>
      <c r="AE57" s="5">
        <v>16</v>
      </c>
      <c r="AF57" s="5">
        <v>182</v>
      </c>
      <c r="AG57" s="5" t="s">
        <v>92</v>
      </c>
      <c r="AH57" s="4" t="s">
        <v>40</v>
      </c>
      <c r="AI57" s="4" t="s">
        <v>24</v>
      </c>
      <c r="AJ57" s="6">
        <v>181.1</v>
      </c>
      <c r="AK57" s="6">
        <v>283.10000000000002</v>
      </c>
      <c r="AL57" s="6">
        <v>254.5</v>
      </c>
      <c r="AM57" s="6">
        <f>AVERAGE(Table5[[#This Row],[23 Pts]:[25 Proj]])</f>
        <v>117.66666666666667</v>
      </c>
      <c r="AN57" s="49">
        <f>Table5[[#This Row],[Avg]]/17</f>
        <v>6.9215686274509807</v>
      </c>
      <c r="AO57" s="4" t="s">
        <v>149</v>
      </c>
      <c r="AP57" s="5">
        <v>182</v>
      </c>
      <c r="AQ57" s="5">
        <v>16</v>
      </c>
      <c r="AS57" s="5">
        <v>16</v>
      </c>
      <c r="AT57" s="5">
        <v>181</v>
      </c>
      <c r="AU57" s="5" t="s">
        <v>335</v>
      </c>
      <c r="AV57" s="4" t="s">
        <v>38</v>
      </c>
      <c r="AW57" s="4" t="s">
        <v>35</v>
      </c>
      <c r="AX57" s="6">
        <v>298.5</v>
      </c>
      <c r="AY57" s="6">
        <v>206.6</v>
      </c>
      <c r="AZ57" s="6">
        <v>276.2</v>
      </c>
      <c r="BA57" s="6">
        <f>AVERAGE(Table5[[#This Row],[23 Pts]:[25 Proj]])</f>
        <v>117.66666666666667</v>
      </c>
      <c r="BB57" s="49">
        <f>Table5[[#This Row],[Avg]]/17</f>
        <v>6.9215686274509807</v>
      </c>
      <c r="BC57" s="4" t="s">
        <v>144</v>
      </c>
      <c r="BD57" s="5">
        <v>181</v>
      </c>
      <c r="BE57" s="5">
        <v>16</v>
      </c>
    </row>
    <row r="58" spans="3:57" s="9" customFormat="1" hidden="1" x14ac:dyDescent="0.35">
      <c r="C58" s="31"/>
      <c r="D58" s="28">
        <f>AVERAGE(D42:D57)</f>
        <v>96.5</v>
      </c>
      <c r="E58" s="31"/>
      <c r="F58" s="31"/>
      <c r="G58" s="31"/>
      <c r="H58" s="30">
        <f>SUM(H42:H57)</f>
        <v>3185.2400000000002</v>
      </c>
      <c r="I58" s="30">
        <f t="shared" ref="I58:K58" si="8">SUM(I42:I57)</f>
        <v>2875.1799999999994</v>
      </c>
      <c r="J58" s="30">
        <f t="shared" si="8"/>
        <v>2923.71</v>
      </c>
      <c r="K58" s="30">
        <f t="shared" si="8"/>
        <v>2904.27</v>
      </c>
      <c r="L58" s="31"/>
      <c r="M58" s="31"/>
      <c r="N58" s="31"/>
      <c r="O58" s="31"/>
      <c r="Q58" s="31"/>
      <c r="R58" s="28">
        <f>AVERAGE(R42:R57)</f>
        <v>96.5</v>
      </c>
      <c r="S58" s="31"/>
      <c r="T58" s="31"/>
      <c r="U58" s="31"/>
      <c r="V58" s="30">
        <f>SUM(V42:V57)</f>
        <v>2271.02</v>
      </c>
      <c r="W58" s="30">
        <f t="shared" ref="W58:Y58" si="9">SUM(W42:W57)</f>
        <v>2556.0800000000004</v>
      </c>
      <c r="X58" s="30">
        <f t="shared" si="9"/>
        <v>3096.74</v>
      </c>
      <c r="Y58" s="30">
        <f t="shared" si="9"/>
        <v>2904.27</v>
      </c>
      <c r="Z58" s="31"/>
      <c r="AA58" s="31"/>
      <c r="AB58" s="31"/>
      <c r="AC58" s="31"/>
      <c r="AE58" s="31"/>
      <c r="AF58" s="28">
        <f>AVERAGE(AF42:AF57)</f>
        <v>96.5</v>
      </c>
      <c r="AG58" s="31"/>
      <c r="AH58" s="31"/>
      <c r="AI58" s="31"/>
      <c r="AJ58" s="30">
        <f>SUM(AJ42:AJ57)</f>
        <v>2451.2199999999998</v>
      </c>
      <c r="AK58" s="30">
        <f t="shared" ref="AK58:AM58" si="10">SUM(AK42:AK57)</f>
        <v>3355.1599999999994</v>
      </c>
      <c r="AL58" s="30">
        <f t="shared" si="10"/>
        <v>2999.24</v>
      </c>
      <c r="AM58" s="30">
        <f t="shared" si="10"/>
        <v>2904.27</v>
      </c>
      <c r="AN58" s="31"/>
      <c r="AO58" s="31"/>
      <c r="AP58" s="31"/>
      <c r="AQ58" s="31"/>
      <c r="AS58" s="31"/>
      <c r="AT58" s="28">
        <f>AVERAGE(AT42:AT57)</f>
        <v>96.5</v>
      </c>
      <c r="AU58" s="31"/>
      <c r="AV58" s="31"/>
      <c r="AW58" s="31"/>
      <c r="AX58" s="30">
        <f>SUM(AX42:AX57)</f>
        <v>2381.86</v>
      </c>
      <c r="AY58" s="30">
        <f t="shared" ref="AY58:BA58" si="11">SUM(AY42:AY57)</f>
        <v>2733.4799999999996</v>
      </c>
      <c r="AZ58" s="30">
        <f t="shared" si="11"/>
        <v>2883.22</v>
      </c>
      <c r="BA58" s="30">
        <f t="shared" si="11"/>
        <v>2904.27</v>
      </c>
      <c r="BB58" s="31"/>
      <c r="BC58" s="31"/>
      <c r="BD58" s="31"/>
      <c r="BE58" s="31"/>
    </row>
  </sheetData>
  <mergeCells count="12">
    <mergeCell ref="C41:O41"/>
    <mergeCell ref="Q41:AC41"/>
    <mergeCell ref="AE41:AQ41"/>
    <mergeCell ref="AS41:BE41"/>
    <mergeCell ref="C5:O5"/>
    <mergeCell ref="Q5:AC5"/>
    <mergeCell ref="AE5:AQ5"/>
    <mergeCell ref="AS5:BE5"/>
    <mergeCell ref="C23:O23"/>
    <mergeCell ref="Q23:AC23"/>
    <mergeCell ref="AE23:AQ23"/>
    <mergeCell ref="AS23:BE23"/>
  </mergeCells>
  <conditionalFormatting sqref="D6:D21 R6:R21 AF6:AF21 AT6:AT21 AT24:AT39 AF24:AF39 R24:R39 D24:D39 D42:D57 R42:R57 AF42:AF57 AT42:AT5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58 R58 AF58 AT58 AT40 AF22 AF40 AT22 R40 R22 D40 D22">
    <cfRule type="colorScale" priority="6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:G21">
    <cfRule type="cellIs" dxfId="911" priority="314" operator="equal">
      <formula>"MIN"</formula>
    </cfRule>
    <cfRule type="cellIs" dxfId="910" priority="313" operator="equal">
      <formula>"NE"</formula>
    </cfRule>
    <cfRule type="cellIs" dxfId="909" priority="331" operator="equal">
      <formula>"DET"</formula>
    </cfRule>
    <cfRule type="cellIs" dxfId="908" priority="330" operator="equal">
      <formula>"MIA"</formula>
    </cfRule>
    <cfRule type="cellIs" dxfId="907" priority="329" operator="equal">
      <formula>"CHI"</formula>
    </cfRule>
    <cfRule type="cellIs" dxfId="906" priority="328" operator="equal">
      <formula>"JAX"</formula>
    </cfRule>
    <cfRule type="cellIs" dxfId="905" priority="327" operator="equal">
      <formula>"ATL"</formula>
    </cfRule>
    <cfRule type="cellIs" dxfId="904" priority="326" operator="equal">
      <formula>"LAR"</formula>
    </cfRule>
    <cfRule type="cellIs" dxfId="903" priority="325" operator="equal">
      <formula>"LAC"</formula>
    </cfRule>
    <cfRule type="cellIs" dxfId="902" priority="324" operator="equal">
      <formula>"SEA"</formula>
    </cfRule>
    <cfRule type="cellIs" dxfId="901" priority="323" operator="equal">
      <formula>"NYJ"</formula>
    </cfRule>
    <cfRule type="cellIs" dxfId="900" priority="322" operator="equal">
      <formula>"CLE"</formula>
    </cfRule>
    <cfRule type="cellIs" dxfId="899" priority="343" operator="equal">
      <formula>"BUF"</formula>
    </cfRule>
    <cfRule type="cellIs" dxfId="898" priority="342" operator="equal">
      <formula>"PHI"</formula>
    </cfRule>
    <cfRule type="cellIs" dxfId="897" priority="341" operator="equal">
      <formula>"BAL"</formula>
    </cfRule>
    <cfRule type="cellIs" dxfId="896" priority="340" operator="equal">
      <formula>"KC"</formula>
    </cfRule>
    <cfRule type="cellIs" dxfId="895" priority="339" operator="equal">
      <formula>"IND"</formula>
    </cfRule>
    <cfRule type="cellIs" dxfId="894" priority="338" operator="equal">
      <formula>"HOU"</formula>
    </cfRule>
    <cfRule type="cellIs" dxfId="893" priority="337" operator="equal">
      <formula>"ARI"</formula>
    </cfRule>
    <cfRule type="cellIs" dxfId="892" priority="336" operator="equal">
      <formula>"CIN"</formula>
    </cfRule>
    <cfRule type="cellIs" dxfId="891" priority="335" operator="equal">
      <formula>"DAL"</formula>
    </cfRule>
    <cfRule type="cellIs" dxfId="890" priority="334" operator="equal">
      <formula>"GB"</formula>
    </cfRule>
    <cfRule type="cellIs" dxfId="889" priority="333" operator="equal">
      <formula>"WAS"</formula>
    </cfRule>
    <cfRule type="cellIs" dxfId="888" priority="332" operator="equal">
      <formula>"SF"</formula>
    </cfRule>
    <cfRule type="cellIs" dxfId="887" priority="321" operator="equal">
      <formula>"TB"</formula>
    </cfRule>
    <cfRule type="cellIs" dxfId="886" priority="312" operator="equal">
      <formula>"LV"</formula>
    </cfRule>
    <cfRule type="cellIs" dxfId="885" priority="320" operator="equal">
      <formula>"TEN"</formula>
    </cfRule>
    <cfRule type="cellIs" dxfId="884" priority="319" operator="equal">
      <formula>"NO"</formula>
    </cfRule>
    <cfRule type="cellIs" dxfId="883" priority="318" operator="equal">
      <formula>"NYG"</formula>
    </cfRule>
    <cfRule type="cellIs" dxfId="882" priority="317" operator="equal">
      <formula>"CAR"</formula>
    </cfRule>
    <cfRule type="cellIs" dxfId="881" priority="316" operator="equal">
      <formula>"DEN"</formula>
    </cfRule>
    <cfRule type="cellIs" dxfId="880" priority="315" operator="equal">
      <formula>"PIT"</formula>
    </cfRule>
  </conditionalFormatting>
  <conditionalFormatting sqref="F24:G39">
    <cfRule type="cellIs" dxfId="879" priority="377" operator="equal">
      <formula>"TEN"</formula>
    </cfRule>
    <cfRule type="cellIs" dxfId="878" priority="389" operator="equal">
      <formula>"SF"</formula>
    </cfRule>
    <cfRule type="cellIs" dxfId="877" priority="390" operator="equal">
      <formula>"WAS"</formula>
    </cfRule>
    <cfRule type="cellIs" dxfId="876" priority="391" operator="equal">
      <formula>"GB"</formula>
    </cfRule>
    <cfRule type="cellIs" dxfId="875" priority="392" operator="equal">
      <formula>"DAL"</formula>
    </cfRule>
    <cfRule type="cellIs" dxfId="874" priority="393" operator="equal">
      <formula>"CIN"</formula>
    </cfRule>
    <cfRule type="cellIs" dxfId="873" priority="394" operator="equal">
      <formula>"ARI"</formula>
    </cfRule>
    <cfRule type="cellIs" dxfId="872" priority="395" operator="equal">
      <formula>"HOU"</formula>
    </cfRule>
    <cfRule type="cellIs" dxfId="871" priority="396" operator="equal">
      <formula>"IND"</formula>
    </cfRule>
    <cfRule type="cellIs" dxfId="870" priority="397" operator="equal">
      <formula>"KC"</formula>
    </cfRule>
    <cfRule type="cellIs" dxfId="869" priority="398" operator="equal">
      <formula>"BAL"</formula>
    </cfRule>
    <cfRule type="cellIs" dxfId="868" priority="399" operator="equal">
      <formula>"PHI"</formula>
    </cfRule>
    <cfRule type="cellIs" dxfId="867" priority="400" operator="equal">
      <formula>"BUF"</formula>
    </cfRule>
    <cfRule type="cellIs" dxfId="866" priority="379" operator="equal">
      <formula>"CLE"</formula>
    </cfRule>
    <cfRule type="cellIs" dxfId="865" priority="380" operator="equal">
      <formula>"NYJ"</formula>
    </cfRule>
    <cfRule type="cellIs" dxfId="864" priority="381" operator="equal">
      <formula>"SEA"</formula>
    </cfRule>
    <cfRule type="cellIs" dxfId="863" priority="382" operator="equal">
      <formula>"LAC"</formula>
    </cfRule>
    <cfRule type="cellIs" dxfId="862" priority="383" operator="equal">
      <formula>"LAR"</formula>
    </cfRule>
    <cfRule type="cellIs" dxfId="861" priority="378" operator="equal">
      <formula>"TB"</formula>
    </cfRule>
    <cfRule type="cellIs" dxfId="860" priority="369" operator="equal">
      <formula>"LV"</formula>
    </cfRule>
    <cfRule type="cellIs" dxfId="859" priority="370" operator="equal">
      <formula>"NE"</formula>
    </cfRule>
    <cfRule type="cellIs" dxfId="858" priority="371" operator="equal">
      <formula>"MIN"</formula>
    </cfRule>
    <cfRule type="cellIs" dxfId="857" priority="372" operator="equal">
      <formula>"PIT"</formula>
    </cfRule>
    <cfRule type="cellIs" dxfId="856" priority="373" operator="equal">
      <formula>"DEN"</formula>
    </cfRule>
    <cfRule type="cellIs" dxfId="855" priority="374" operator="equal">
      <formula>"CAR"</formula>
    </cfRule>
    <cfRule type="cellIs" dxfId="854" priority="375" operator="equal">
      <formula>"NYG"</formula>
    </cfRule>
    <cfRule type="cellIs" dxfId="853" priority="376" operator="equal">
      <formula>"NO"</formula>
    </cfRule>
    <cfRule type="cellIs" dxfId="852" priority="384" operator="equal">
      <formula>"ATL"</formula>
    </cfRule>
    <cfRule type="cellIs" dxfId="851" priority="385" operator="equal">
      <formula>"JAX"</formula>
    </cfRule>
    <cfRule type="cellIs" dxfId="850" priority="386" operator="equal">
      <formula>"CHI"</formula>
    </cfRule>
    <cfRule type="cellIs" dxfId="849" priority="387" operator="equal">
      <formula>"MIA"</formula>
    </cfRule>
    <cfRule type="cellIs" dxfId="848" priority="388" operator="equal">
      <formula>"DET"</formula>
    </cfRule>
  </conditionalFormatting>
  <conditionalFormatting sqref="F42:G57">
    <cfRule type="cellIs" dxfId="847" priority="170" operator="equal">
      <formula>"BAL"</formula>
    </cfRule>
    <cfRule type="cellIs" dxfId="846" priority="142" operator="equal">
      <formula>"NE"</formula>
    </cfRule>
    <cfRule type="cellIs" dxfId="845" priority="141" operator="equal">
      <formula>"LV"</formula>
    </cfRule>
    <cfRule type="cellIs" dxfId="844" priority="143" operator="equal">
      <formula>"MIN"</formula>
    </cfRule>
    <cfRule type="cellIs" dxfId="843" priority="144" operator="equal">
      <formula>"PIT"</formula>
    </cfRule>
    <cfRule type="cellIs" dxfId="842" priority="145" operator="equal">
      <formula>"DEN"</formula>
    </cfRule>
    <cfRule type="cellIs" dxfId="841" priority="146" operator="equal">
      <formula>"CAR"</formula>
    </cfRule>
    <cfRule type="cellIs" dxfId="840" priority="147" operator="equal">
      <formula>"NYG"</formula>
    </cfRule>
    <cfRule type="cellIs" dxfId="839" priority="162" operator="equal">
      <formula>"WAS"</formula>
    </cfRule>
    <cfRule type="cellIs" dxfId="838" priority="148" operator="equal">
      <formula>"NO"</formula>
    </cfRule>
    <cfRule type="cellIs" dxfId="837" priority="149" operator="equal">
      <formula>"TEN"</formula>
    </cfRule>
    <cfRule type="cellIs" dxfId="836" priority="150" operator="equal">
      <formula>"TB"</formula>
    </cfRule>
    <cfRule type="cellIs" dxfId="835" priority="151" operator="equal">
      <formula>"CLE"</formula>
    </cfRule>
    <cfRule type="cellIs" dxfId="834" priority="159" operator="equal">
      <formula>"MIA"</formula>
    </cfRule>
    <cfRule type="cellIs" dxfId="833" priority="160" operator="equal">
      <formula>"DET"</formula>
    </cfRule>
    <cfRule type="cellIs" dxfId="832" priority="161" operator="equal">
      <formula>"SF"</formula>
    </cfRule>
    <cfRule type="cellIs" dxfId="831" priority="152" operator="equal">
      <formula>"NYJ"</formula>
    </cfRule>
    <cfRule type="cellIs" dxfId="830" priority="163" operator="equal">
      <formula>"GB"</formula>
    </cfRule>
    <cfRule type="cellIs" dxfId="829" priority="164" operator="equal">
      <formula>"DAL"</formula>
    </cfRule>
    <cfRule type="cellIs" dxfId="828" priority="165" operator="equal">
      <formula>"CIN"</formula>
    </cfRule>
    <cfRule type="cellIs" dxfId="827" priority="166" operator="equal">
      <formula>"ARI"</formula>
    </cfRule>
    <cfRule type="cellIs" dxfId="826" priority="167" operator="equal">
      <formula>"HOU"</formula>
    </cfRule>
    <cfRule type="cellIs" dxfId="825" priority="168" operator="equal">
      <formula>"IND"</formula>
    </cfRule>
    <cfRule type="cellIs" dxfId="824" priority="169" operator="equal">
      <formula>"KC"</formula>
    </cfRule>
    <cfRule type="cellIs" dxfId="823" priority="154" operator="equal">
      <formula>"LAC"</formula>
    </cfRule>
    <cfRule type="cellIs" dxfId="822" priority="171" operator="equal">
      <formula>"PHI"</formula>
    </cfRule>
    <cfRule type="cellIs" dxfId="821" priority="172" operator="equal">
      <formula>"BUF"</formula>
    </cfRule>
    <cfRule type="cellIs" dxfId="820" priority="153" operator="equal">
      <formula>"SEA"</formula>
    </cfRule>
    <cfRule type="cellIs" dxfId="819" priority="155" operator="equal">
      <formula>"LAR"</formula>
    </cfRule>
    <cfRule type="cellIs" dxfId="818" priority="156" operator="equal">
      <formula>"ATL"</formula>
    </cfRule>
    <cfRule type="cellIs" dxfId="817" priority="157" operator="equal">
      <formula>"JAX"</formula>
    </cfRule>
    <cfRule type="cellIs" dxfId="816" priority="158" operator="equal">
      <formula>"CHI"</formula>
    </cfRule>
  </conditionalFormatting>
  <conditionalFormatting sqref="G6:G21">
    <cfRule type="cellIs" dxfId="815" priority="311" operator="equal">
      <formula>"QB"</formula>
    </cfRule>
    <cfRule type="cellIs" dxfId="814" priority="310" operator="equal">
      <formula>"RB"</formula>
    </cfRule>
    <cfRule type="cellIs" dxfId="813" priority="306" operator="equal">
      <formula>"K"</formula>
    </cfRule>
    <cfRule type="cellIs" dxfId="812" priority="309" operator="equal">
      <formula>"WR"</formula>
    </cfRule>
    <cfRule type="cellIs" dxfId="811" priority="308" operator="equal">
      <formula>"TE"</formula>
    </cfRule>
    <cfRule type="cellIs" dxfId="810" priority="307" operator="equal">
      <formula>"D/ST"</formula>
    </cfRule>
  </conditionalFormatting>
  <conditionalFormatting sqref="G24:G39">
    <cfRule type="cellIs" dxfId="809" priority="367" operator="equal">
      <formula>"RB"</formula>
    </cfRule>
    <cfRule type="cellIs" dxfId="808" priority="368" operator="equal">
      <formula>"QB"</formula>
    </cfRule>
    <cfRule type="cellIs" dxfId="807" priority="363" operator="equal">
      <formula>"K"</formula>
    </cfRule>
    <cfRule type="cellIs" dxfId="806" priority="365" operator="equal">
      <formula>"TE"</formula>
    </cfRule>
    <cfRule type="cellIs" dxfId="805" priority="364" operator="equal">
      <formula>"D/ST"</formula>
    </cfRule>
    <cfRule type="cellIs" dxfId="804" priority="366" operator="equal">
      <formula>"WR"</formula>
    </cfRule>
  </conditionalFormatting>
  <conditionalFormatting sqref="G42:G57">
    <cfRule type="cellIs" dxfId="803" priority="137" operator="equal">
      <formula>"TE"</formula>
    </cfRule>
    <cfRule type="cellIs" dxfId="802" priority="135" operator="equal">
      <formula>"K"</formula>
    </cfRule>
    <cfRule type="cellIs" dxfId="801" priority="140" operator="equal">
      <formula>"QB"</formula>
    </cfRule>
    <cfRule type="cellIs" dxfId="800" priority="139" operator="equal">
      <formula>"RB"</formula>
    </cfRule>
    <cfRule type="cellIs" dxfId="799" priority="136" operator="equal">
      <formula>"D/ST"</formula>
    </cfRule>
    <cfRule type="cellIs" dxfId="798" priority="138" operator="equal">
      <formula>"WR"</formula>
    </cfRule>
  </conditionalFormatting>
  <conditionalFormatting sqref="H6:H21"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2 V22 AJ22 AX22 AX40 AJ40 V40 H40 H58 V58 AJ58 AX58">
    <cfRule type="colorScale" priority="6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4:H39">
    <cfRule type="colorScale" priority="3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2:H57"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:I21">
    <cfRule type="colorScale" priority="2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4:I39">
    <cfRule type="colorScale" priority="3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2:I57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:J21">
    <cfRule type="colorScale" priority="2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4:J39">
    <cfRule type="colorScale" priority="3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0 J22 J58 X58 AL58 AZ58 AZ40 AL40 X40 X22 AL22 AZ22">
    <cfRule type="colorScale" priority="6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2:J57"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:K21">
    <cfRule type="colorScale" priority="2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4:K39">
    <cfRule type="colorScale" priority="3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2:K57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:L21">
    <cfRule type="colorScale" priority="2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4:L39">
    <cfRule type="colorScale" priority="3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2:L57"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6:M21">
    <cfRule type="cellIs" dxfId="797" priority="296" operator="equal">
      <formula>"Blitz"</formula>
    </cfRule>
    <cfRule type="cellIs" dxfId="796" priority="299" operator="equal">
      <formula>"Suck My Footballz"</formula>
    </cfRule>
    <cfRule type="cellIs" dxfId="795" priority="300" operator="equal">
      <formula>"Are you winning son?"</formula>
    </cfRule>
    <cfRule type="cellIs" dxfId="794" priority="301" operator="equal">
      <formula>"Built Ford Tough"</formula>
    </cfRule>
    <cfRule type="cellIs" dxfId="793" priority="302" operator="equal">
      <formula>"Slingin' Herb"</formula>
    </cfRule>
    <cfRule type="cellIs" dxfId="792" priority="304" operator="equal">
      <formula>"GibSons of Anarchy"</formula>
    </cfRule>
    <cfRule type="cellIs" dxfId="791" priority="295" operator="equal">
      <formula>"Gimme Moore"</formula>
    </cfRule>
    <cfRule type="cellIs" dxfId="790" priority="294" operator="equal">
      <formula>"Django Achaned"</formula>
    </cfRule>
    <cfRule type="cellIs" dxfId="789" priority="293" operator="equal">
      <formula>"DoughBoy$"</formula>
    </cfRule>
    <cfRule type="cellIs" dxfId="788" priority="298" operator="equal">
      <formula>"Silence of the Lamb"</formula>
    </cfRule>
    <cfRule type="cellIs" dxfId="787" priority="303" operator="equal">
      <formula>"Tig Bits"</formula>
    </cfRule>
    <cfRule type="cellIs" dxfId="786" priority="297" operator="equal">
      <formula>"Team Martens"</formula>
    </cfRule>
  </conditionalFormatting>
  <conditionalFormatting sqref="M24:M39">
    <cfRule type="cellIs" dxfId="785" priority="358" operator="equal">
      <formula>"Built Ford Tough"</formula>
    </cfRule>
    <cfRule type="cellIs" dxfId="784" priority="357" operator="equal">
      <formula>"Are you winning son?"</formula>
    </cfRule>
    <cfRule type="cellIs" dxfId="783" priority="356" operator="equal">
      <formula>"Suck My Footballz"</formula>
    </cfRule>
    <cfRule type="cellIs" dxfId="782" priority="361" operator="equal">
      <formula>"GibSons of Anarchy"</formula>
    </cfRule>
    <cfRule type="cellIs" dxfId="781" priority="360" operator="equal">
      <formula>"Tig Bits"</formula>
    </cfRule>
    <cfRule type="cellIs" dxfId="780" priority="359" operator="equal">
      <formula>"Slingin' Herb"</formula>
    </cfRule>
    <cfRule type="cellIs" dxfId="779" priority="350" operator="equal">
      <formula>"DoughBoy$"</formula>
    </cfRule>
    <cfRule type="cellIs" dxfId="778" priority="355" operator="equal">
      <formula>"Silence of the Lamb"</formula>
    </cfRule>
    <cfRule type="cellIs" dxfId="777" priority="354" operator="equal">
      <formula>"Team Martens"</formula>
    </cfRule>
    <cfRule type="cellIs" dxfId="776" priority="353" operator="equal">
      <formula>"Blitz"</formula>
    </cfRule>
    <cfRule type="cellIs" dxfId="775" priority="352" operator="equal">
      <formula>"Gimme Moore"</formula>
    </cfRule>
    <cfRule type="cellIs" dxfId="774" priority="351" operator="equal">
      <formula>"Django Achaned"</formula>
    </cfRule>
  </conditionalFormatting>
  <conditionalFormatting sqref="M42:M57">
    <cfRule type="cellIs" dxfId="773" priority="133" operator="equal">
      <formula>"GibSons of Anarchy"</formula>
    </cfRule>
    <cfRule type="cellIs" dxfId="772" priority="123" operator="equal">
      <formula>"Django Achaned"</formula>
    </cfRule>
    <cfRule type="cellIs" dxfId="771" priority="124" operator="equal">
      <formula>"Gimme Moore"</formula>
    </cfRule>
    <cfRule type="cellIs" dxfId="770" priority="125" operator="equal">
      <formula>"Blitz"</formula>
    </cfRule>
    <cfRule type="cellIs" dxfId="769" priority="126" operator="equal">
      <formula>"Team Martens"</formula>
    </cfRule>
    <cfRule type="cellIs" dxfId="768" priority="127" operator="equal">
      <formula>"Silence of the Lamb"</formula>
    </cfRule>
    <cfRule type="cellIs" dxfId="767" priority="128" operator="equal">
      <formula>"Suck My Footballz"</formula>
    </cfRule>
    <cfRule type="cellIs" dxfId="766" priority="129" operator="equal">
      <formula>"Are you winning son?"</formula>
    </cfRule>
    <cfRule type="cellIs" dxfId="765" priority="130" operator="equal">
      <formula>"Built Ford Tough"</formula>
    </cfRule>
    <cfRule type="cellIs" dxfId="764" priority="131" operator="equal">
      <formula>"Slingin' Herb"</formula>
    </cfRule>
    <cfRule type="cellIs" dxfId="763" priority="122" operator="equal">
      <formula>"DoughBoy$"</formula>
    </cfRule>
    <cfRule type="cellIs" dxfId="762" priority="132" operator="equal">
      <formula>"Tig Bits"</formula>
    </cfRule>
  </conditionalFormatting>
  <conditionalFormatting sqref="T6:U21">
    <cfRule type="cellIs" dxfId="761" priority="554" operator="equal">
      <formula>"LAR"</formula>
    </cfRule>
    <cfRule type="cellIs" dxfId="760" priority="553" operator="equal">
      <formula>"LAC"</formula>
    </cfRule>
    <cfRule type="cellIs" dxfId="759" priority="551" operator="equal">
      <formula>"NYJ"</formula>
    </cfRule>
    <cfRule type="cellIs" dxfId="758" priority="550" operator="equal">
      <formula>"CLE"</formula>
    </cfRule>
    <cfRule type="cellIs" dxfId="757" priority="549" operator="equal">
      <formula>"TB"</formula>
    </cfRule>
    <cfRule type="cellIs" dxfId="756" priority="548" operator="equal">
      <formula>"TEN"</formula>
    </cfRule>
    <cfRule type="cellIs" dxfId="755" priority="547" operator="equal">
      <formula>"NO"</formula>
    </cfRule>
    <cfRule type="cellIs" dxfId="754" priority="546" operator="equal">
      <formula>"NYG"</formula>
    </cfRule>
    <cfRule type="cellIs" dxfId="753" priority="545" operator="equal">
      <formula>"CAR"</formula>
    </cfRule>
    <cfRule type="cellIs" dxfId="752" priority="544" operator="equal">
      <formula>"DEN"</formula>
    </cfRule>
    <cfRule type="cellIs" dxfId="751" priority="543" operator="equal">
      <formula>"PIT"</formula>
    </cfRule>
    <cfRule type="cellIs" dxfId="750" priority="542" operator="equal">
      <formula>"MIN"</formula>
    </cfRule>
    <cfRule type="cellIs" dxfId="749" priority="541" operator="equal">
      <formula>"NE"</formula>
    </cfRule>
    <cfRule type="cellIs" dxfId="748" priority="540" operator="equal">
      <formula>"LV"</formula>
    </cfRule>
    <cfRule type="cellIs" dxfId="747" priority="552" operator="equal">
      <formula>"SEA"</formula>
    </cfRule>
    <cfRule type="cellIs" dxfId="746" priority="571" operator="equal">
      <formula>"BUF"</formula>
    </cfRule>
    <cfRule type="cellIs" dxfId="745" priority="570" operator="equal">
      <formula>"PHI"</formula>
    </cfRule>
    <cfRule type="cellIs" dxfId="744" priority="569" operator="equal">
      <formula>"BAL"</formula>
    </cfRule>
    <cfRule type="cellIs" dxfId="743" priority="568" operator="equal">
      <formula>"KC"</formula>
    </cfRule>
    <cfRule type="cellIs" dxfId="742" priority="567" operator="equal">
      <formula>"IND"</formula>
    </cfRule>
    <cfRule type="cellIs" dxfId="741" priority="566" operator="equal">
      <formula>"HOU"</formula>
    </cfRule>
    <cfRule type="cellIs" dxfId="740" priority="565" operator="equal">
      <formula>"ARI"</formula>
    </cfRule>
    <cfRule type="cellIs" dxfId="739" priority="564" operator="equal">
      <formula>"CIN"</formula>
    </cfRule>
    <cfRule type="cellIs" dxfId="738" priority="563" operator="equal">
      <formula>"DAL"</formula>
    </cfRule>
    <cfRule type="cellIs" dxfId="737" priority="562" operator="equal">
      <formula>"GB"</formula>
    </cfRule>
    <cfRule type="cellIs" dxfId="736" priority="561" operator="equal">
      <formula>"WAS"</formula>
    </cfRule>
    <cfRule type="cellIs" dxfId="735" priority="560" operator="equal">
      <formula>"SF"</formula>
    </cfRule>
    <cfRule type="cellIs" dxfId="734" priority="559" operator="equal">
      <formula>"DET"</formula>
    </cfRule>
    <cfRule type="cellIs" dxfId="733" priority="558" operator="equal">
      <formula>"MIA"</formula>
    </cfRule>
    <cfRule type="cellIs" dxfId="732" priority="557" operator="equal">
      <formula>"CHI"</formula>
    </cfRule>
    <cfRule type="cellIs" dxfId="731" priority="556" operator="equal">
      <formula>"JAX"</formula>
    </cfRule>
    <cfRule type="cellIs" dxfId="730" priority="555" operator="equal">
      <formula>"ATL"</formula>
    </cfRule>
  </conditionalFormatting>
  <conditionalFormatting sqref="T24:U39">
    <cfRule type="cellIs" dxfId="729" priority="498" operator="equal">
      <formula>"ATL"</formula>
    </cfRule>
    <cfRule type="cellIs" dxfId="728" priority="509" operator="equal">
      <formula>"HOU"</formula>
    </cfRule>
    <cfRule type="cellIs" dxfId="727" priority="510" operator="equal">
      <formula>"IND"</formula>
    </cfRule>
    <cfRule type="cellIs" dxfId="726" priority="511" operator="equal">
      <formula>"KC"</formula>
    </cfRule>
    <cfRule type="cellIs" dxfId="725" priority="512" operator="equal">
      <formula>"BAL"</formula>
    </cfRule>
    <cfRule type="cellIs" dxfId="724" priority="483" operator="equal">
      <formula>"LV"</formula>
    </cfRule>
    <cfRule type="cellIs" dxfId="723" priority="484" operator="equal">
      <formula>"NE"</formula>
    </cfRule>
    <cfRule type="cellIs" dxfId="722" priority="485" operator="equal">
      <formula>"MIN"</formula>
    </cfRule>
    <cfRule type="cellIs" dxfId="721" priority="486" operator="equal">
      <formula>"PIT"</formula>
    </cfRule>
    <cfRule type="cellIs" dxfId="720" priority="487" operator="equal">
      <formula>"DEN"</formula>
    </cfRule>
    <cfRule type="cellIs" dxfId="719" priority="488" operator="equal">
      <formula>"CAR"</formula>
    </cfRule>
    <cfRule type="cellIs" dxfId="718" priority="489" operator="equal">
      <formula>"NYG"</formula>
    </cfRule>
    <cfRule type="cellIs" dxfId="717" priority="490" operator="equal">
      <formula>"NO"</formula>
    </cfRule>
    <cfRule type="cellIs" dxfId="716" priority="491" operator="equal">
      <formula>"TEN"</formula>
    </cfRule>
    <cfRule type="cellIs" dxfId="715" priority="492" operator="equal">
      <formula>"TB"</formula>
    </cfRule>
    <cfRule type="cellIs" dxfId="714" priority="493" operator="equal">
      <formula>"CLE"</formula>
    </cfRule>
    <cfRule type="cellIs" dxfId="713" priority="494" operator="equal">
      <formula>"NYJ"</formula>
    </cfRule>
    <cfRule type="cellIs" dxfId="712" priority="495" operator="equal">
      <formula>"SEA"</formula>
    </cfRule>
    <cfRule type="cellIs" dxfId="711" priority="496" operator="equal">
      <formula>"LAC"</formula>
    </cfRule>
    <cfRule type="cellIs" dxfId="710" priority="497" operator="equal">
      <formula>"LAR"</formula>
    </cfRule>
    <cfRule type="cellIs" dxfId="709" priority="514" operator="equal">
      <formula>"BUF"</formula>
    </cfRule>
    <cfRule type="cellIs" dxfId="708" priority="499" operator="equal">
      <formula>"JAX"</formula>
    </cfRule>
    <cfRule type="cellIs" dxfId="707" priority="500" operator="equal">
      <formula>"CHI"</formula>
    </cfRule>
    <cfRule type="cellIs" dxfId="706" priority="501" operator="equal">
      <formula>"MIA"</formula>
    </cfRule>
    <cfRule type="cellIs" dxfId="705" priority="502" operator="equal">
      <formula>"DET"</formula>
    </cfRule>
    <cfRule type="cellIs" dxfId="704" priority="503" operator="equal">
      <formula>"SF"</formula>
    </cfRule>
    <cfRule type="cellIs" dxfId="703" priority="504" operator="equal">
      <formula>"WAS"</formula>
    </cfRule>
    <cfRule type="cellIs" dxfId="702" priority="513" operator="equal">
      <formula>"PHI"</formula>
    </cfRule>
    <cfRule type="cellIs" dxfId="701" priority="505" operator="equal">
      <formula>"GB"</formula>
    </cfRule>
    <cfRule type="cellIs" dxfId="700" priority="506" operator="equal">
      <formula>"DAL"</formula>
    </cfRule>
    <cfRule type="cellIs" dxfId="699" priority="507" operator="equal">
      <formula>"CIN"</formula>
    </cfRule>
    <cfRule type="cellIs" dxfId="698" priority="508" operator="equal">
      <formula>"ARI"</formula>
    </cfRule>
  </conditionalFormatting>
  <conditionalFormatting sqref="T42:U57">
    <cfRule type="cellIs" dxfId="697" priority="598" operator="equal">
      <formula>"NE"</formula>
    </cfRule>
    <cfRule type="cellIs" dxfId="696" priority="607" operator="equal">
      <formula>"CLE"</formula>
    </cfRule>
    <cfRule type="cellIs" dxfId="695" priority="606" operator="equal">
      <formula>"TB"</formula>
    </cfRule>
    <cfRule type="cellIs" dxfId="694" priority="604" operator="equal">
      <formula>"NO"</formula>
    </cfRule>
    <cfRule type="cellIs" dxfId="693" priority="603" operator="equal">
      <formula>"NYG"</formula>
    </cfRule>
    <cfRule type="cellIs" dxfId="692" priority="627" operator="equal">
      <formula>"PHI"</formula>
    </cfRule>
    <cfRule type="cellIs" dxfId="691" priority="605" operator="equal">
      <formula>"TEN"</formula>
    </cfRule>
    <cfRule type="cellIs" dxfId="690" priority="597" operator="equal">
      <formula>"LV"</formula>
    </cfRule>
    <cfRule type="cellIs" dxfId="689" priority="602" operator="equal">
      <formula>"CAR"</formula>
    </cfRule>
    <cfRule type="cellIs" dxfId="688" priority="628" operator="equal">
      <formula>"BUF"</formula>
    </cfRule>
    <cfRule type="cellIs" dxfId="687" priority="601" operator="equal">
      <formula>"DEN"</formula>
    </cfRule>
    <cfRule type="cellIs" dxfId="686" priority="626" operator="equal">
      <formula>"BAL"</formula>
    </cfRule>
    <cfRule type="cellIs" dxfId="685" priority="625" operator="equal">
      <formula>"KC"</formula>
    </cfRule>
    <cfRule type="cellIs" dxfId="684" priority="624" operator="equal">
      <formula>"IND"</formula>
    </cfRule>
    <cfRule type="cellIs" dxfId="683" priority="623" operator="equal">
      <formula>"HOU"</formula>
    </cfRule>
    <cfRule type="cellIs" dxfId="682" priority="622" operator="equal">
      <formula>"ARI"</formula>
    </cfRule>
    <cfRule type="cellIs" dxfId="681" priority="621" operator="equal">
      <formula>"CIN"</formula>
    </cfRule>
    <cfRule type="cellIs" dxfId="680" priority="620" operator="equal">
      <formula>"DAL"</formula>
    </cfRule>
    <cfRule type="cellIs" dxfId="679" priority="619" operator="equal">
      <formula>"GB"</formula>
    </cfRule>
    <cfRule type="cellIs" dxfId="678" priority="618" operator="equal">
      <formula>"WAS"</formula>
    </cfRule>
    <cfRule type="cellIs" dxfId="677" priority="617" operator="equal">
      <formula>"SF"</formula>
    </cfRule>
    <cfRule type="cellIs" dxfId="676" priority="616" operator="equal">
      <formula>"DET"</formula>
    </cfRule>
    <cfRule type="cellIs" dxfId="675" priority="615" operator="equal">
      <formula>"MIA"</formula>
    </cfRule>
    <cfRule type="cellIs" dxfId="674" priority="610" operator="equal">
      <formula>"LAC"</formula>
    </cfRule>
    <cfRule type="cellIs" dxfId="673" priority="614" operator="equal">
      <formula>"CHI"</formula>
    </cfRule>
    <cfRule type="cellIs" dxfId="672" priority="600" operator="equal">
      <formula>"PIT"</formula>
    </cfRule>
    <cfRule type="cellIs" dxfId="671" priority="613" operator="equal">
      <formula>"JAX"</formula>
    </cfRule>
    <cfRule type="cellIs" dxfId="670" priority="612" operator="equal">
      <formula>"ATL"</formula>
    </cfRule>
    <cfRule type="cellIs" dxfId="669" priority="611" operator="equal">
      <formula>"LAR"</formula>
    </cfRule>
    <cfRule type="cellIs" dxfId="668" priority="599" operator="equal">
      <formula>"MIN"</formula>
    </cfRule>
    <cfRule type="cellIs" dxfId="667" priority="609" operator="equal">
      <formula>"SEA"</formula>
    </cfRule>
    <cfRule type="cellIs" dxfId="666" priority="608" operator="equal">
      <formula>"NYJ"</formula>
    </cfRule>
  </conditionalFormatting>
  <conditionalFormatting sqref="U6:U21">
    <cfRule type="cellIs" dxfId="665" priority="539" operator="equal">
      <formula>"QB"</formula>
    </cfRule>
    <cfRule type="cellIs" dxfId="664" priority="535" operator="equal">
      <formula>"D/ST"</formula>
    </cfRule>
    <cfRule type="cellIs" dxfId="663" priority="534" operator="equal">
      <formula>"K"</formula>
    </cfRule>
    <cfRule type="cellIs" dxfId="662" priority="537" operator="equal">
      <formula>"WR"</formula>
    </cfRule>
    <cfRule type="cellIs" dxfId="661" priority="538" operator="equal">
      <formula>"RB"</formula>
    </cfRule>
    <cfRule type="cellIs" dxfId="660" priority="536" operator="equal">
      <formula>"TE"</formula>
    </cfRule>
  </conditionalFormatting>
  <conditionalFormatting sqref="U24:U39">
    <cfRule type="cellIs" dxfId="659" priority="480" operator="equal">
      <formula>"WR"</formula>
    </cfRule>
    <cfRule type="cellIs" dxfId="658" priority="481" operator="equal">
      <formula>"RB"</formula>
    </cfRule>
    <cfRule type="cellIs" dxfId="657" priority="482" operator="equal">
      <formula>"QB"</formula>
    </cfRule>
    <cfRule type="cellIs" dxfId="656" priority="478" operator="equal">
      <formula>"D/ST"</formula>
    </cfRule>
    <cfRule type="cellIs" dxfId="655" priority="477" operator="equal">
      <formula>"K"</formula>
    </cfRule>
    <cfRule type="cellIs" dxfId="654" priority="479" operator="equal">
      <formula>"TE"</formula>
    </cfRule>
  </conditionalFormatting>
  <conditionalFormatting sqref="U42:U57">
    <cfRule type="cellIs" dxfId="653" priority="595" operator="equal">
      <formula>"RB"</formula>
    </cfRule>
    <cfRule type="cellIs" dxfId="652" priority="596" operator="equal">
      <formula>"QB"</formula>
    </cfRule>
    <cfRule type="cellIs" dxfId="651" priority="591" operator="equal">
      <formula>"K"</formula>
    </cfRule>
    <cfRule type="cellIs" dxfId="650" priority="592" operator="equal">
      <formula>"D/ST"</formula>
    </cfRule>
    <cfRule type="cellIs" dxfId="649" priority="593" operator="equal">
      <formula>"TE"</formula>
    </cfRule>
    <cfRule type="cellIs" dxfId="648" priority="594" operator="equal">
      <formula>"WR"</formula>
    </cfRule>
  </conditionalFormatting>
  <conditionalFormatting sqref="V6:V21">
    <cfRule type="colorScale" priority="5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4:V39">
    <cfRule type="colorScale" priority="4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2:V57">
    <cfRule type="colorScale" priority="5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6:W21">
    <cfRule type="colorScale" priority="5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4:W39">
    <cfRule type="colorScale" priority="4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2:W57">
    <cfRule type="colorScale" priority="5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6:X21">
    <cfRule type="colorScale" priority="5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4:X39">
    <cfRule type="colorScale" priority="4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42:X57">
    <cfRule type="colorScale" priority="5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6:Y21">
    <cfRule type="colorScale" priority="5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4:Y39">
    <cfRule type="colorScale" priority="4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42:Y57">
    <cfRule type="colorScale" priority="5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6:Z21">
    <cfRule type="colorScale" priority="5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4:Z39">
    <cfRule type="colorScale" priority="4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42:Z57">
    <cfRule type="colorScale" priority="5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6:AA21">
    <cfRule type="cellIs" dxfId="647" priority="527" operator="equal">
      <formula>"Suck My Footballz"</formula>
    </cfRule>
    <cfRule type="cellIs" dxfId="646" priority="526" operator="equal">
      <formula>"Silence of the Lamb"</formula>
    </cfRule>
    <cfRule type="cellIs" dxfId="645" priority="525" operator="equal">
      <formula>"Team Martens"</formula>
    </cfRule>
    <cfRule type="cellIs" dxfId="644" priority="524" operator="equal">
      <formula>"Blitz"</formula>
    </cfRule>
    <cfRule type="cellIs" dxfId="643" priority="523" operator="equal">
      <formula>"Gimme Moore"</formula>
    </cfRule>
    <cfRule type="cellIs" dxfId="642" priority="522" operator="equal">
      <formula>"Django Achaned"</formula>
    </cfRule>
    <cfRule type="cellIs" dxfId="641" priority="521" operator="equal">
      <formula>"DoughBoy$"</formula>
    </cfRule>
    <cfRule type="cellIs" dxfId="640" priority="532" operator="equal">
      <formula>"GibSons of Anarchy"</formula>
    </cfRule>
    <cfRule type="cellIs" dxfId="639" priority="531" operator="equal">
      <formula>"Tig Bits"</formula>
    </cfRule>
    <cfRule type="cellIs" dxfId="638" priority="530" operator="equal">
      <formula>"Slingin' Herb"</formula>
    </cfRule>
    <cfRule type="cellIs" dxfId="637" priority="529" operator="equal">
      <formula>"Built Ford Tough"</formula>
    </cfRule>
    <cfRule type="cellIs" dxfId="636" priority="528" operator="equal">
      <formula>"Are you winning son?"</formula>
    </cfRule>
  </conditionalFormatting>
  <conditionalFormatting sqref="AA24:AA39">
    <cfRule type="cellIs" dxfId="635" priority="470" operator="equal">
      <formula>"Suck My Footballz"</formula>
    </cfRule>
    <cfRule type="cellIs" dxfId="634" priority="466" operator="equal">
      <formula>"Gimme Moore"</formula>
    </cfRule>
    <cfRule type="cellIs" dxfId="633" priority="465" operator="equal">
      <formula>"Django Achaned"</formula>
    </cfRule>
    <cfRule type="cellIs" dxfId="632" priority="464" operator="equal">
      <formula>"DoughBoy$"</formula>
    </cfRule>
    <cfRule type="cellIs" dxfId="631" priority="468" operator="equal">
      <formula>"Team Martens"</formula>
    </cfRule>
    <cfRule type="cellIs" dxfId="630" priority="469" operator="equal">
      <formula>"Silence of the Lamb"</formula>
    </cfRule>
    <cfRule type="cellIs" dxfId="629" priority="471" operator="equal">
      <formula>"Are you winning son?"</formula>
    </cfRule>
    <cfRule type="cellIs" dxfId="628" priority="472" operator="equal">
      <formula>"Built Ford Tough"</formula>
    </cfRule>
    <cfRule type="cellIs" dxfId="627" priority="473" operator="equal">
      <formula>"Slingin' Herb"</formula>
    </cfRule>
    <cfRule type="cellIs" dxfId="626" priority="474" operator="equal">
      <formula>"Tig Bits"</formula>
    </cfRule>
    <cfRule type="cellIs" dxfId="625" priority="467" operator="equal">
      <formula>"Blitz"</formula>
    </cfRule>
    <cfRule type="cellIs" dxfId="624" priority="475" operator="equal">
      <formula>"GibSons of Anarchy"</formula>
    </cfRule>
  </conditionalFormatting>
  <conditionalFormatting sqref="AA42:AA57">
    <cfRule type="cellIs" dxfId="623" priority="588" operator="equal">
      <formula>"Tig Bits"</formula>
    </cfRule>
    <cfRule type="cellIs" dxfId="622" priority="589" operator="equal">
      <formula>"GibSons of Anarchy"</formula>
    </cfRule>
    <cfRule type="cellIs" dxfId="621" priority="587" operator="equal">
      <formula>"Slingin' Herb"</formula>
    </cfRule>
    <cfRule type="cellIs" dxfId="620" priority="586" operator="equal">
      <formula>"Built Ford Tough"</formula>
    </cfRule>
    <cfRule type="cellIs" dxfId="619" priority="585" operator="equal">
      <formula>"Are you winning son?"</formula>
    </cfRule>
    <cfRule type="cellIs" dxfId="618" priority="584" operator="equal">
      <formula>"Suck My Footballz"</formula>
    </cfRule>
    <cfRule type="cellIs" dxfId="617" priority="583" operator="equal">
      <formula>"Silence of the Lamb"</formula>
    </cfRule>
    <cfRule type="cellIs" dxfId="616" priority="582" operator="equal">
      <formula>"Team Martens"</formula>
    </cfRule>
    <cfRule type="cellIs" dxfId="615" priority="578" operator="equal">
      <formula>"DoughBoy$"</formula>
    </cfRule>
    <cfRule type="cellIs" dxfId="614" priority="579" operator="equal">
      <formula>"Django Achaned"</formula>
    </cfRule>
    <cfRule type="cellIs" dxfId="613" priority="580" operator="equal">
      <formula>"Gimme Moore"</formula>
    </cfRule>
    <cfRule type="cellIs" dxfId="612" priority="581" operator="equal">
      <formula>"Blitz"</formula>
    </cfRule>
  </conditionalFormatting>
  <conditionalFormatting sqref="AH6:AI21">
    <cfRule type="cellIs" dxfId="611" priority="657" operator="equal">
      <formula>"PIT"</formula>
    </cfRule>
    <cfRule type="cellIs" dxfId="610" priority="658" operator="equal">
      <formula>"DEN"</formula>
    </cfRule>
    <cfRule type="cellIs" dxfId="609" priority="659" operator="equal">
      <formula>"CAR"</formula>
    </cfRule>
    <cfRule type="cellIs" dxfId="608" priority="660" operator="equal">
      <formula>"NYG"</formula>
    </cfRule>
    <cfRule type="cellIs" dxfId="607" priority="654" operator="equal">
      <formula>"LV"</formula>
    </cfRule>
    <cfRule type="cellIs" dxfId="606" priority="662" operator="equal">
      <formula>"TEN"</formula>
    </cfRule>
    <cfRule type="cellIs" dxfId="605" priority="663" operator="equal">
      <formula>"TB"</formula>
    </cfRule>
    <cfRule type="cellIs" dxfId="604" priority="664" operator="equal">
      <formula>"CLE"</formula>
    </cfRule>
    <cfRule type="cellIs" dxfId="603" priority="665" operator="equal">
      <formula>"NYJ"</formula>
    </cfRule>
    <cfRule type="cellIs" dxfId="602" priority="666" operator="equal">
      <formula>"SEA"</formula>
    </cfRule>
    <cfRule type="cellIs" dxfId="601" priority="667" operator="equal">
      <formula>"LAC"</formula>
    </cfRule>
    <cfRule type="cellIs" dxfId="600" priority="661" operator="equal">
      <formula>"NO"</formula>
    </cfRule>
    <cfRule type="cellIs" dxfId="599" priority="669" operator="equal">
      <formula>"ATL"</formula>
    </cfRule>
    <cfRule type="cellIs" dxfId="598" priority="670" operator="equal">
      <formula>"JAX"</formula>
    </cfRule>
    <cfRule type="cellIs" dxfId="597" priority="671" operator="equal">
      <formula>"CHI"</formula>
    </cfRule>
    <cfRule type="cellIs" dxfId="596" priority="672" operator="equal">
      <formula>"MIA"</formula>
    </cfRule>
    <cfRule type="cellIs" dxfId="595" priority="673" operator="equal">
      <formula>"DET"</formula>
    </cfRule>
    <cfRule type="cellIs" dxfId="594" priority="674" operator="equal">
      <formula>"SF"</formula>
    </cfRule>
    <cfRule type="cellIs" dxfId="593" priority="675" operator="equal">
      <formula>"WAS"</formula>
    </cfRule>
    <cfRule type="cellIs" dxfId="592" priority="676" operator="equal">
      <formula>"GB"</formula>
    </cfRule>
    <cfRule type="cellIs" dxfId="591" priority="677" operator="equal">
      <formula>"DAL"</formula>
    </cfRule>
    <cfRule type="cellIs" dxfId="590" priority="678" operator="equal">
      <formula>"CIN"</formula>
    </cfRule>
    <cfRule type="cellIs" dxfId="589" priority="679" operator="equal">
      <formula>"ARI"</formula>
    </cfRule>
    <cfRule type="cellIs" dxfId="588" priority="680" operator="equal">
      <formula>"HOU"</formula>
    </cfRule>
    <cfRule type="cellIs" dxfId="587" priority="681" operator="equal">
      <formula>"IND"</formula>
    </cfRule>
    <cfRule type="cellIs" dxfId="586" priority="682" operator="equal">
      <formula>"KC"</formula>
    </cfRule>
    <cfRule type="cellIs" dxfId="585" priority="683" operator="equal">
      <formula>"BAL"</formula>
    </cfRule>
    <cfRule type="cellIs" dxfId="584" priority="684" operator="equal">
      <formula>"PHI"</formula>
    </cfRule>
    <cfRule type="cellIs" dxfId="583" priority="685" operator="equal">
      <formula>"BUF"</formula>
    </cfRule>
    <cfRule type="cellIs" dxfId="582" priority="655" operator="equal">
      <formula>"NE"</formula>
    </cfRule>
    <cfRule type="cellIs" dxfId="581" priority="656" operator="equal">
      <formula>"MIN"</formula>
    </cfRule>
    <cfRule type="cellIs" dxfId="580" priority="668" operator="equal">
      <formula>"LAR"</formula>
    </cfRule>
  </conditionalFormatting>
  <conditionalFormatting sqref="AH24:AI39">
    <cfRule type="cellIs" dxfId="579" priority="255" operator="equal">
      <formula>"LV"</formula>
    </cfRule>
    <cfRule type="cellIs" dxfId="578" priority="256" operator="equal">
      <formula>"NE"</formula>
    </cfRule>
    <cfRule type="cellIs" dxfId="577" priority="257" operator="equal">
      <formula>"MIN"</formula>
    </cfRule>
    <cfRule type="cellIs" dxfId="576" priority="258" operator="equal">
      <formula>"PIT"</formula>
    </cfRule>
    <cfRule type="cellIs" dxfId="575" priority="259" operator="equal">
      <formula>"DEN"</formula>
    </cfRule>
    <cfRule type="cellIs" dxfId="574" priority="260" operator="equal">
      <formula>"CAR"</formula>
    </cfRule>
    <cfRule type="cellIs" dxfId="573" priority="262" operator="equal">
      <formula>"NO"</formula>
    </cfRule>
    <cfRule type="cellIs" dxfId="572" priority="263" operator="equal">
      <formula>"TEN"</formula>
    </cfRule>
    <cfRule type="cellIs" dxfId="571" priority="264" operator="equal">
      <formula>"TB"</formula>
    </cfRule>
    <cfRule type="cellIs" dxfId="570" priority="265" operator="equal">
      <formula>"CLE"</formula>
    </cfRule>
    <cfRule type="cellIs" dxfId="569" priority="266" operator="equal">
      <formula>"NYJ"</formula>
    </cfRule>
    <cfRule type="cellIs" dxfId="568" priority="267" operator="equal">
      <formula>"SEA"</formula>
    </cfRule>
    <cfRule type="cellIs" dxfId="567" priority="268" operator="equal">
      <formula>"LAC"</formula>
    </cfRule>
    <cfRule type="cellIs" dxfId="566" priority="269" operator="equal">
      <formula>"LAR"</formula>
    </cfRule>
    <cfRule type="cellIs" dxfId="565" priority="270" operator="equal">
      <formula>"ATL"</formula>
    </cfRule>
    <cfRule type="cellIs" dxfId="564" priority="271" operator="equal">
      <formula>"JAX"</formula>
    </cfRule>
    <cfRule type="cellIs" dxfId="563" priority="272" operator="equal">
      <formula>"CHI"</formula>
    </cfRule>
    <cfRule type="cellIs" dxfId="562" priority="273" operator="equal">
      <formula>"MIA"</formula>
    </cfRule>
    <cfRule type="cellIs" dxfId="561" priority="274" operator="equal">
      <formula>"DET"</formula>
    </cfRule>
    <cfRule type="cellIs" dxfId="560" priority="275" operator="equal">
      <formula>"SF"</formula>
    </cfRule>
    <cfRule type="cellIs" dxfId="559" priority="276" operator="equal">
      <formula>"WAS"</formula>
    </cfRule>
    <cfRule type="cellIs" dxfId="558" priority="277" operator="equal">
      <formula>"GB"</formula>
    </cfRule>
    <cfRule type="cellIs" dxfId="557" priority="278" operator="equal">
      <formula>"DAL"</formula>
    </cfRule>
    <cfRule type="cellIs" dxfId="556" priority="279" operator="equal">
      <formula>"CIN"</formula>
    </cfRule>
    <cfRule type="cellIs" dxfId="555" priority="280" operator="equal">
      <formula>"ARI"</formula>
    </cfRule>
    <cfRule type="cellIs" dxfId="554" priority="281" operator="equal">
      <formula>"HOU"</formula>
    </cfRule>
    <cfRule type="cellIs" dxfId="553" priority="282" operator="equal">
      <formula>"IND"</formula>
    </cfRule>
    <cfRule type="cellIs" dxfId="552" priority="283" operator="equal">
      <formula>"KC"</formula>
    </cfRule>
    <cfRule type="cellIs" dxfId="551" priority="284" operator="equal">
      <formula>"BAL"</formula>
    </cfRule>
    <cfRule type="cellIs" dxfId="550" priority="285" operator="equal">
      <formula>"PHI"</formula>
    </cfRule>
    <cfRule type="cellIs" dxfId="549" priority="286" operator="equal">
      <formula>"BUF"</formula>
    </cfRule>
    <cfRule type="cellIs" dxfId="548" priority="261" operator="equal">
      <formula>"NYG"</formula>
    </cfRule>
  </conditionalFormatting>
  <conditionalFormatting sqref="AH42:AI57">
    <cfRule type="cellIs" dxfId="547" priority="448" operator="equal">
      <formula>"GB"</formula>
    </cfRule>
    <cfRule type="cellIs" dxfId="546" priority="447" operator="equal">
      <formula>"WAS"</formula>
    </cfRule>
    <cfRule type="cellIs" dxfId="545" priority="449" operator="equal">
      <formula>"DAL"</formula>
    </cfRule>
    <cfRule type="cellIs" dxfId="544" priority="450" operator="equal">
      <formula>"CIN"</formula>
    </cfRule>
    <cfRule type="cellIs" dxfId="543" priority="451" operator="equal">
      <formula>"ARI"</formula>
    </cfRule>
    <cfRule type="cellIs" dxfId="542" priority="453" operator="equal">
      <formula>"IND"</formula>
    </cfRule>
    <cfRule type="cellIs" dxfId="541" priority="454" operator="equal">
      <formula>"KC"</formula>
    </cfRule>
    <cfRule type="cellIs" dxfId="540" priority="455" operator="equal">
      <formula>"BAL"</formula>
    </cfRule>
    <cfRule type="cellIs" dxfId="539" priority="456" operator="equal">
      <formula>"PHI"</formula>
    </cfRule>
    <cfRule type="cellIs" dxfId="538" priority="457" operator="equal">
      <formula>"BUF"</formula>
    </cfRule>
    <cfRule type="cellIs" dxfId="537" priority="452" operator="equal">
      <formula>"HOU"</formula>
    </cfRule>
    <cfRule type="cellIs" dxfId="536" priority="426" operator="equal">
      <formula>"LV"</formula>
    </cfRule>
    <cfRule type="cellIs" dxfId="535" priority="427" operator="equal">
      <formula>"NE"</formula>
    </cfRule>
    <cfRule type="cellIs" dxfId="534" priority="428" operator="equal">
      <formula>"MIN"</formula>
    </cfRule>
    <cfRule type="cellIs" dxfId="533" priority="429" operator="equal">
      <formula>"PIT"</formula>
    </cfRule>
    <cfRule type="cellIs" dxfId="532" priority="430" operator="equal">
      <formula>"DEN"</formula>
    </cfRule>
    <cfRule type="cellIs" dxfId="531" priority="431" operator="equal">
      <formula>"CAR"</formula>
    </cfRule>
    <cfRule type="cellIs" dxfId="530" priority="432" operator="equal">
      <formula>"NYG"</formula>
    </cfRule>
    <cfRule type="cellIs" dxfId="529" priority="433" operator="equal">
      <formula>"NO"</formula>
    </cfRule>
    <cfRule type="cellIs" dxfId="528" priority="434" operator="equal">
      <formula>"TEN"</formula>
    </cfRule>
    <cfRule type="cellIs" dxfId="527" priority="435" operator="equal">
      <formula>"TB"</formula>
    </cfRule>
    <cfRule type="cellIs" dxfId="526" priority="436" operator="equal">
      <formula>"CLE"</formula>
    </cfRule>
    <cfRule type="cellIs" dxfId="525" priority="437" operator="equal">
      <formula>"NYJ"</formula>
    </cfRule>
    <cfRule type="cellIs" dxfId="524" priority="438" operator="equal">
      <formula>"SEA"</formula>
    </cfRule>
    <cfRule type="cellIs" dxfId="523" priority="439" operator="equal">
      <formula>"LAC"</formula>
    </cfRule>
    <cfRule type="cellIs" dxfId="522" priority="440" operator="equal">
      <formula>"LAR"</formula>
    </cfRule>
    <cfRule type="cellIs" dxfId="521" priority="441" operator="equal">
      <formula>"ATL"</formula>
    </cfRule>
    <cfRule type="cellIs" dxfId="520" priority="442" operator="equal">
      <formula>"JAX"</formula>
    </cfRule>
    <cfRule type="cellIs" dxfId="519" priority="443" operator="equal">
      <formula>"CHI"</formula>
    </cfRule>
    <cfRule type="cellIs" dxfId="518" priority="444" operator="equal">
      <formula>"MIA"</formula>
    </cfRule>
    <cfRule type="cellIs" dxfId="517" priority="445" operator="equal">
      <formula>"DET"</formula>
    </cfRule>
    <cfRule type="cellIs" dxfId="516" priority="446" operator="equal">
      <formula>"SF"</formula>
    </cfRule>
  </conditionalFormatting>
  <conditionalFormatting sqref="AI6:AI21">
    <cfRule type="cellIs" dxfId="515" priority="652" operator="equal">
      <formula>"RB"</formula>
    </cfRule>
    <cfRule type="cellIs" dxfId="514" priority="651" operator="equal">
      <formula>"WR"</formula>
    </cfRule>
    <cfRule type="cellIs" dxfId="513" priority="650" operator="equal">
      <formula>"TE"</formula>
    </cfRule>
    <cfRule type="cellIs" dxfId="512" priority="649" operator="equal">
      <formula>"D/ST"</formula>
    </cfRule>
    <cfRule type="cellIs" dxfId="511" priority="653" operator="equal">
      <formula>"QB"</formula>
    </cfRule>
    <cfRule type="cellIs" dxfId="510" priority="648" operator="equal">
      <formula>"K"</formula>
    </cfRule>
  </conditionalFormatting>
  <conditionalFormatting sqref="AI24:AI39">
    <cfRule type="cellIs" dxfId="509" priority="249" operator="equal">
      <formula>"K"</formula>
    </cfRule>
    <cfRule type="cellIs" dxfId="508" priority="250" operator="equal">
      <formula>"D/ST"</formula>
    </cfRule>
    <cfRule type="cellIs" dxfId="507" priority="251" operator="equal">
      <formula>"TE"</formula>
    </cfRule>
    <cfRule type="cellIs" dxfId="506" priority="252" operator="equal">
      <formula>"WR"</formula>
    </cfRule>
    <cfRule type="cellIs" dxfId="505" priority="253" operator="equal">
      <formula>"RB"</formula>
    </cfRule>
    <cfRule type="cellIs" dxfId="504" priority="254" operator="equal">
      <formula>"QB"</formula>
    </cfRule>
  </conditionalFormatting>
  <conditionalFormatting sqref="AI42:AI57">
    <cfRule type="cellIs" dxfId="503" priority="420" operator="equal">
      <formula>"K"</formula>
    </cfRule>
    <cfRule type="cellIs" dxfId="502" priority="421" operator="equal">
      <formula>"D/ST"</formula>
    </cfRule>
    <cfRule type="cellIs" dxfId="501" priority="422" operator="equal">
      <formula>"TE"</formula>
    </cfRule>
    <cfRule type="cellIs" dxfId="500" priority="423" operator="equal">
      <formula>"WR"</formula>
    </cfRule>
    <cfRule type="cellIs" dxfId="499" priority="424" operator="equal">
      <formula>"RB"</formula>
    </cfRule>
    <cfRule type="cellIs" dxfId="498" priority="425" operator="equal">
      <formula>"QB"</formula>
    </cfRule>
  </conditionalFormatting>
  <conditionalFormatting sqref="AJ6:AJ21">
    <cfRule type="colorScale" priority="6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4:AJ39">
    <cfRule type="colorScale" priority="2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2:AJ57">
    <cfRule type="colorScale" priority="4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6:AK21">
    <cfRule type="colorScale" priority="6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4:AK39">
    <cfRule type="colorScale" priority="2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42:AK57">
    <cfRule type="colorScale" priority="4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6:AL21">
    <cfRule type="colorScale" priority="6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4:AL39">
    <cfRule type="colorScale" priority="2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42:AL57">
    <cfRule type="colorScale" priority="4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6:AM21">
    <cfRule type="colorScale" priority="6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4:AM39">
    <cfRule type="colorScale" priority="2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42:AM57">
    <cfRule type="colorScale" priority="4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6:AN21">
    <cfRule type="colorScale" priority="6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4:AN39">
    <cfRule type="colorScale" priority="2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42:AN57">
    <cfRule type="colorScale" priority="4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6:AO21">
    <cfRule type="cellIs" dxfId="497" priority="645" operator="equal">
      <formula>"Tig Bits"</formula>
    </cfRule>
    <cfRule type="cellIs" dxfId="496" priority="646" operator="equal">
      <formula>"GibSons of Anarchy"</formula>
    </cfRule>
    <cfRule type="cellIs" dxfId="495" priority="639" operator="equal">
      <formula>"Team Martens"</formula>
    </cfRule>
    <cfRule type="cellIs" dxfId="494" priority="643" operator="equal">
      <formula>"Built Ford Tough"</formula>
    </cfRule>
    <cfRule type="cellIs" dxfId="493" priority="642" operator="equal">
      <formula>"Are you winning son?"</formula>
    </cfRule>
    <cfRule type="cellIs" dxfId="492" priority="641" operator="equal">
      <formula>"Suck My Footballz"</formula>
    </cfRule>
    <cfRule type="cellIs" dxfId="491" priority="640" operator="equal">
      <formula>"Silence of the Lamb"</formula>
    </cfRule>
    <cfRule type="cellIs" dxfId="490" priority="644" operator="equal">
      <formula>"Slingin' Herb"</formula>
    </cfRule>
    <cfRule type="cellIs" dxfId="489" priority="638" operator="equal">
      <formula>"Blitz"</formula>
    </cfRule>
    <cfRule type="cellIs" dxfId="488" priority="637" operator="equal">
      <formula>"Gimme Moore"</formula>
    </cfRule>
    <cfRule type="cellIs" dxfId="487" priority="636" operator="equal">
      <formula>"Django Achaned"</formula>
    </cfRule>
    <cfRule type="cellIs" dxfId="486" priority="635" operator="equal">
      <formula>"DoughBoy$"</formula>
    </cfRule>
  </conditionalFormatting>
  <conditionalFormatting sqref="AO24:AO39">
    <cfRule type="cellIs" dxfId="485" priority="236" operator="equal">
      <formula>"DoughBoy$"</formula>
    </cfRule>
    <cfRule type="cellIs" dxfId="484" priority="238" operator="equal">
      <formula>"Gimme Moore"</formula>
    </cfRule>
    <cfRule type="cellIs" dxfId="483" priority="239" operator="equal">
      <formula>"Blitz"</formula>
    </cfRule>
    <cfRule type="cellIs" dxfId="482" priority="240" operator="equal">
      <formula>"Team Martens"</formula>
    </cfRule>
    <cfRule type="cellIs" dxfId="481" priority="241" operator="equal">
      <formula>"Silence of the Lamb"</formula>
    </cfRule>
    <cfRule type="cellIs" dxfId="480" priority="242" operator="equal">
      <formula>"Suck My Footballz"</formula>
    </cfRule>
    <cfRule type="cellIs" dxfId="479" priority="243" operator="equal">
      <formula>"Are you winning son?"</formula>
    </cfRule>
    <cfRule type="cellIs" dxfId="478" priority="244" operator="equal">
      <formula>"Built Ford Tough"</formula>
    </cfRule>
    <cfRule type="cellIs" dxfId="477" priority="245" operator="equal">
      <formula>"Slingin' Herb"</formula>
    </cfRule>
    <cfRule type="cellIs" dxfId="476" priority="246" operator="equal">
      <formula>"Tig Bits"</formula>
    </cfRule>
    <cfRule type="cellIs" dxfId="475" priority="247" operator="equal">
      <formula>"GibSons of Anarchy"</formula>
    </cfRule>
    <cfRule type="cellIs" dxfId="474" priority="237" operator="equal">
      <formula>"Django Achaned"</formula>
    </cfRule>
  </conditionalFormatting>
  <conditionalFormatting sqref="AO42:AO57">
    <cfRule type="cellIs" dxfId="473" priority="415" operator="equal">
      <formula>"Built Ford Tough"</formula>
    </cfRule>
    <cfRule type="cellIs" dxfId="472" priority="416" operator="equal">
      <formula>"Slingin' Herb"</formula>
    </cfRule>
    <cfRule type="cellIs" dxfId="471" priority="417" operator="equal">
      <formula>"Tig Bits"</formula>
    </cfRule>
    <cfRule type="cellIs" dxfId="470" priority="418" operator="equal">
      <formula>"GibSons of Anarchy"</formula>
    </cfRule>
    <cfRule type="cellIs" dxfId="469" priority="414" operator="equal">
      <formula>"Are you winning son?"</formula>
    </cfRule>
    <cfRule type="cellIs" dxfId="468" priority="408" operator="equal">
      <formula>"Django Achaned"</formula>
    </cfRule>
    <cfRule type="cellIs" dxfId="467" priority="409" operator="equal">
      <formula>"Gimme Moore"</formula>
    </cfRule>
    <cfRule type="cellIs" dxfId="466" priority="410" operator="equal">
      <formula>"Blitz"</formula>
    </cfRule>
    <cfRule type="cellIs" dxfId="465" priority="411" operator="equal">
      <formula>"Team Martens"</formula>
    </cfRule>
    <cfRule type="cellIs" dxfId="464" priority="412" operator="equal">
      <formula>"Silence of the Lamb"</formula>
    </cfRule>
    <cfRule type="cellIs" dxfId="463" priority="413" operator="equal">
      <formula>"Suck My Footballz"</formula>
    </cfRule>
    <cfRule type="cellIs" dxfId="462" priority="407" operator="equal">
      <formula>"DoughBoy$"</formula>
    </cfRule>
  </conditionalFormatting>
  <conditionalFormatting sqref="AV6:AW21">
    <cfRule type="cellIs" dxfId="461" priority="40" operator="equal">
      <formula>"LAC"</formula>
    </cfRule>
    <cfRule type="cellIs" dxfId="460" priority="41" operator="equal">
      <formula>"LAR"</formula>
    </cfRule>
    <cfRule type="cellIs" dxfId="459" priority="53" operator="equal">
      <formula>"HOU"</formula>
    </cfRule>
    <cfRule type="cellIs" dxfId="458" priority="42" operator="equal">
      <formula>"ATL"</formula>
    </cfRule>
    <cfRule type="cellIs" dxfId="457" priority="43" operator="equal">
      <formula>"JAX"</formula>
    </cfRule>
    <cfRule type="cellIs" dxfId="456" priority="44" operator="equal">
      <formula>"CHI"</formula>
    </cfRule>
    <cfRule type="cellIs" dxfId="455" priority="45" operator="equal">
      <formula>"MIA"</formula>
    </cfRule>
    <cfRule type="cellIs" dxfId="454" priority="46" operator="equal">
      <formula>"DET"</formula>
    </cfRule>
    <cfRule type="cellIs" dxfId="453" priority="47" operator="equal">
      <formula>"SF"</formula>
    </cfRule>
    <cfRule type="cellIs" dxfId="452" priority="58" operator="equal">
      <formula>"BUF"</formula>
    </cfRule>
    <cfRule type="cellIs" dxfId="451" priority="57" operator="equal">
      <formula>"PHI"</formula>
    </cfRule>
    <cfRule type="cellIs" dxfId="450" priority="56" operator="equal">
      <formula>"BAL"</formula>
    </cfRule>
    <cfRule type="cellIs" dxfId="449" priority="55" operator="equal">
      <formula>"KC"</formula>
    </cfRule>
    <cfRule type="cellIs" dxfId="448" priority="54" operator="equal">
      <formula>"IND"</formula>
    </cfRule>
    <cfRule type="cellIs" dxfId="447" priority="48" operator="equal">
      <formula>"WAS"</formula>
    </cfRule>
    <cfRule type="cellIs" dxfId="446" priority="49" operator="equal">
      <formula>"GB"</formula>
    </cfRule>
    <cfRule type="cellIs" dxfId="445" priority="50" operator="equal">
      <formula>"DAL"</formula>
    </cfRule>
    <cfRule type="cellIs" dxfId="444" priority="51" operator="equal">
      <formula>"CIN"</formula>
    </cfRule>
    <cfRule type="cellIs" dxfId="443" priority="52" operator="equal">
      <formula>"ARI"</formula>
    </cfRule>
    <cfRule type="cellIs" dxfId="442" priority="39" operator="equal">
      <formula>"SEA"</formula>
    </cfRule>
    <cfRule type="cellIs" dxfId="441" priority="38" operator="equal">
      <formula>"NYJ"</formula>
    </cfRule>
    <cfRule type="cellIs" dxfId="440" priority="37" operator="equal">
      <formula>"CLE"</formula>
    </cfRule>
    <cfRule type="cellIs" dxfId="439" priority="36" operator="equal">
      <formula>"TB"</formula>
    </cfRule>
    <cfRule type="cellIs" dxfId="438" priority="35" operator="equal">
      <formula>"TEN"</formula>
    </cfRule>
    <cfRule type="cellIs" dxfId="437" priority="34" operator="equal">
      <formula>"NO"</formula>
    </cfRule>
    <cfRule type="cellIs" dxfId="436" priority="33" operator="equal">
      <formula>"NYG"</formula>
    </cfRule>
    <cfRule type="cellIs" dxfId="435" priority="32" operator="equal">
      <formula>"CAR"</formula>
    </cfRule>
    <cfRule type="cellIs" dxfId="434" priority="31" operator="equal">
      <formula>"DEN"</formula>
    </cfRule>
    <cfRule type="cellIs" dxfId="433" priority="30" operator="equal">
      <formula>"PIT"</formula>
    </cfRule>
    <cfRule type="cellIs" dxfId="432" priority="29" operator="equal">
      <formula>"MIN"</formula>
    </cfRule>
    <cfRule type="cellIs" dxfId="431" priority="28" operator="equal">
      <formula>"NE"</formula>
    </cfRule>
    <cfRule type="cellIs" dxfId="430" priority="27" operator="equal">
      <formula>"LV"</formula>
    </cfRule>
  </conditionalFormatting>
  <conditionalFormatting sqref="AV24:AW39">
    <cfRule type="cellIs" dxfId="429" priority="109" operator="equal">
      <formula>"ARI"</formula>
    </cfRule>
    <cfRule type="cellIs" dxfId="428" priority="108" operator="equal">
      <formula>"CIN"</formula>
    </cfRule>
    <cfRule type="cellIs" dxfId="427" priority="107" operator="equal">
      <formula>"DAL"</formula>
    </cfRule>
    <cfRule type="cellIs" dxfId="426" priority="106" operator="equal">
      <formula>"GB"</formula>
    </cfRule>
    <cfRule type="cellIs" dxfId="425" priority="105" operator="equal">
      <formula>"WAS"</formula>
    </cfRule>
    <cfRule type="cellIs" dxfId="424" priority="104" operator="equal">
      <formula>"SF"</formula>
    </cfRule>
    <cfRule type="cellIs" dxfId="423" priority="103" operator="equal">
      <formula>"DET"</formula>
    </cfRule>
    <cfRule type="cellIs" dxfId="422" priority="102" operator="equal">
      <formula>"MIA"</formula>
    </cfRule>
    <cfRule type="cellIs" dxfId="421" priority="101" operator="equal">
      <formula>"CHI"</formula>
    </cfRule>
    <cfRule type="cellIs" dxfId="420" priority="91" operator="equal">
      <formula>"NO"</formula>
    </cfRule>
    <cfRule type="cellIs" dxfId="419" priority="90" operator="equal">
      <formula>"NYG"</formula>
    </cfRule>
    <cfRule type="cellIs" dxfId="418" priority="89" operator="equal">
      <formula>"CAR"</formula>
    </cfRule>
    <cfRule type="cellIs" dxfId="417" priority="87" operator="equal">
      <formula>"PIT"</formula>
    </cfRule>
    <cfRule type="cellIs" dxfId="416" priority="86" operator="equal">
      <formula>"MIN"</formula>
    </cfRule>
    <cfRule type="cellIs" dxfId="415" priority="85" operator="equal">
      <formula>"NE"</formula>
    </cfRule>
    <cfRule type="cellIs" dxfId="414" priority="84" operator="equal">
      <formula>"LV"</formula>
    </cfRule>
    <cfRule type="cellIs" dxfId="413" priority="115" operator="equal">
      <formula>"BUF"</formula>
    </cfRule>
    <cfRule type="cellIs" dxfId="412" priority="114" operator="equal">
      <formula>"PHI"</formula>
    </cfRule>
    <cfRule type="cellIs" dxfId="411" priority="113" operator="equal">
      <formula>"BAL"</formula>
    </cfRule>
    <cfRule type="cellIs" dxfId="410" priority="112" operator="equal">
      <formula>"KC"</formula>
    </cfRule>
    <cfRule type="cellIs" dxfId="409" priority="111" operator="equal">
      <formula>"IND"</formula>
    </cfRule>
    <cfRule type="cellIs" dxfId="408" priority="110" operator="equal">
      <formula>"HOU"</formula>
    </cfRule>
    <cfRule type="cellIs" dxfId="407" priority="100" operator="equal">
      <formula>"JAX"</formula>
    </cfRule>
    <cfRule type="cellIs" dxfId="406" priority="99" operator="equal">
      <formula>"ATL"</formula>
    </cfRule>
    <cfRule type="cellIs" dxfId="405" priority="98" operator="equal">
      <formula>"LAR"</formula>
    </cfRule>
    <cfRule type="cellIs" dxfId="404" priority="97" operator="equal">
      <formula>"LAC"</formula>
    </cfRule>
    <cfRule type="cellIs" dxfId="403" priority="96" operator="equal">
      <formula>"SEA"</formula>
    </cfRule>
    <cfRule type="cellIs" dxfId="402" priority="95" operator="equal">
      <formula>"NYJ"</formula>
    </cfRule>
    <cfRule type="cellIs" dxfId="401" priority="94" operator="equal">
      <formula>"CLE"</formula>
    </cfRule>
    <cfRule type="cellIs" dxfId="400" priority="93" operator="equal">
      <formula>"TB"</formula>
    </cfRule>
    <cfRule type="cellIs" dxfId="399" priority="92" operator="equal">
      <formula>"TEN"</formula>
    </cfRule>
    <cfRule type="cellIs" dxfId="398" priority="88" operator="equal">
      <formula>"DEN"</formula>
    </cfRule>
  </conditionalFormatting>
  <conditionalFormatting sqref="AV42:AW57">
    <cfRule type="cellIs" dxfId="397" priority="199" operator="equal">
      <formula>"NE"</formula>
    </cfRule>
    <cfRule type="cellIs" dxfId="396" priority="198" operator="equal">
      <formula>"LV"</formula>
    </cfRule>
    <cfRule type="cellIs" dxfId="395" priority="215" operator="equal">
      <formula>"CHI"</formula>
    </cfRule>
    <cfRule type="cellIs" dxfId="394" priority="214" operator="equal">
      <formula>"JAX"</formula>
    </cfRule>
    <cfRule type="cellIs" dxfId="393" priority="213" operator="equal">
      <formula>"ATL"</formula>
    </cfRule>
    <cfRule type="cellIs" dxfId="392" priority="212" operator="equal">
      <formula>"LAR"</formula>
    </cfRule>
    <cfRule type="cellIs" dxfId="391" priority="211" operator="equal">
      <formula>"LAC"</formula>
    </cfRule>
    <cfRule type="cellIs" dxfId="390" priority="210" operator="equal">
      <formula>"SEA"</formula>
    </cfRule>
    <cfRule type="cellIs" dxfId="389" priority="209" operator="equal">
      <formula>"NYJ"</formula>
    </cfRule>
    <cfRule type="cellIs" dxfId="388" priority="208" operator="equal">
      <formula>"CLE"</formula>
    </cfRule>
    <cfRule type="cellIs" dxfId="387" priority="207" operator="equal">
      <formula>"TB"</formula>
    </cfRule>
    <cfRule type="cellIs" dxfId="386" priority="206" operator="equal">
      <formula>"TEN"</formula>
    </cfRule>
    <cfRule type="cellIs" dxfId="385" priority="205" operator="equal">
      <formula>"NO"</formula>
    </cfRule>
    <cfRule type="cellIs" dxfId="384" priority="204" operator="equal">
      <formula>"NYG"</formula>
    </cfRule>
    <cfRule type="cellIs" dxfId="383" priority="203" operator="equal">
      <formula>"CAR"</formula>
    </cfRule>
    <cfRule type="cellIs" dxfId="382" priority="202" operator="equal">
      <formula>"DEN"</formula>
    </cfRule>
    <cfRule type="cellIs" dxfId="381" priority="201" operator="equal">
      <formula>"PIT"</formula>
    </cfRule>
    <cfRule type="cellIs" dxfId="380" priority="220" operator="equal">
      <formula>"GB"</formula>
    </cfRule>
    <cfRule type="cellIs" dxfId="379" priority="200" operator="equal">
      <formula>"MIN"</formula>
    </cfRule>
    <cfRule type="cellIs" dxfId="378" priority="227" operator="equal">
      <formula>"BAL"</formula>
    </cfRule>
    <cfRule type="cellIs" dxfId="377" priority="229" operator="equal">
      <formula>"BUF"</formula>
    </cfRule>
    <cfRule type="cellIs" dxfId="376" priority="228" operator="equal">
      <formula>"PHI"</formula>
    </cfRule>
    <cfRule type="cellIs" dxfId="375" priority="226" operator="equal">
      <formula>"KC"</formula>
    </cfRule>
    <cfRule type="cellIs" dxfId="374" priority="225" operator="equal">
      <formula>"IND"</formula>
    </cfRule>
    <cfRule type="cellIs" dxfId="373" priority="224" operator="equal">
      <formula>"HOU"</formula>
    </cfRule>
    <cfRule type="cellIs" dxfId="372" priority="223" operator="equal">
      <formula>"ARI"</formula>
    </cfRule>
    <cfRule type="cellIs" dxfId="371" priority="222" operator="equal">
      <formula>"CIN"</formula>
    </cfRule>
    <cfRule type="cellIs" dxfId="370" priority="221" operator="equal">
      <formula>"DAL"</formula>
    </cfRule>
    <cfRule type="cellIs" dxfId="369" priority="219" operator="equal">
      <formula>"WAS"</formula>
    </cfRule>
    <cfRule type="cellIs" dxfId="368" priority="218" operator="equal">
      <formula>"SF"</formula>
    </cfRule>
    <cfRule type="cellIs" dxfId="367" priority="217" operator="equal">
      <formula>"DET"</formula>
    </cfRule>
    <cfRule type="cellIs" dxfId="366" priority="216" operator="equal">
      <formula>"MIA"</formula>
    </cfRule>
  </conditionalFormatting>
  <conditionalFormatting sqref="AW6:AW21">
    <cfRule type="cellIs" dxfId="365" priority="24" operator="equal">
      <formula>"WR"</formula>
    </cfRule>
    <cfRule type="cellIs" dxfId="364" priority="23" operator="equal">
      <formula>"TE"</formula>
    </cfRule>
    <cfRule type="cellIs" dxfId="363" priority="22" operator="equal">
      <formula>"D/ST"</formula>
    </cfRule>
    <cfRule type="cellIs" dxfId="362" priority="21" operator="equal">
      <formula>"K"</formula>
    </cfRule>
    <cfRule type="cellIs" dxfId="361" priority="26" operator="equal">
      <formula>"QB"</formula>
    </cfRule>
    <cfRule type="cellIs" dxfId="360" priority="25" operator="equal">
      <formula>"RB"</formula>
    </cfRule>
  </conditionalFormatting>
  <conditionalFormatting sqref="AW24:AW39">
    <cfRule type="cellIs" dxfId="359" priority="78" operator="equal">
      <formula>"K"</formula>
    </cfRule>
    <cfRule type="cellIs" dxfId="358" priority="79" operator="equal">
      <formula>"D/ST"</formula>
    </cfRule>
    <cfRule type="cellIs" dxfId="357" priority="80" operator="equal">
      <formula>"TE"</formula>
    </cfRule>
    <cfRule type="cellIs" dxfId="356" priority="81" operator="equal">
      <formula>"WR"</formula>
    </cfRule>
    <cfRule type="cellIs" dxfId="355" priority="83" operator="equal">
      <formula>"QB"</formula>
    </cfRule>
    <cfRule type="cellIs" dxfId="354" priority="82" operator="equal">
      <formula>"RB"</formula>
    </cfRule>
  </conditionalFormatting>
  <conditionalFormatting sqref="AW42:AW57">
    <cfRule type="cellIs" dxfId="353" priority="196" operator="equal">
      <formula>"RB"</formula>
    </cfRule>
    <cfRule type="cellIs" dxfId="352" priority="195" operator="equal">
      <formula>"WR"</formula>
    </cfRule>
    <cfRule type="cellIs" dxfId="351" priority="194" operator="equal">
      <formula>"TE"</formula>
    </cfRule>
    <cfRule type="cellIs" dxfId="350" priority="193" operator="equal">
      <formula>"D/ST"</formula>
    </cfRule>
    <cfRule type="cellIs" dxfId="349" priority="192" operator="equal">
      <formula>"K"</formula>
    </cfRule>
    <cfRule type="cellIs" dxfId="348" priority="197" operator="equal">
      <formula>"QB"</formula>
    </cfRule>
  </conditionalFormatting>
  <conditionalFormatting sqref="AX6:AX2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4:AX39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42:AX57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6:AY2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2 AY40 AY58 AK58 AK40 AK22 W22 W40 W58 I58 I40 I22">
    <cfRule type="colorScale" priority="6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4:AY39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42:AY57">
    <cfRule type="colorScale" priority="1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6:AZ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4:AZ39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42:AZ57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6:BA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24:BA39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42:BA57">
    <cfRule type="colorScale" priority="1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58 BA40 BA22 AM22 AM40 AM58 Y58 Y40 Y22 K22 K40 K58">
    <cfRule type="colorScale" priority="6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6:BB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4:BB39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42:BB57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6:BC21">
    <cfRule type="cellIs" dxfId="347" priority="14" operator="equal">
      <formula>"Suck My Footballz"</formula>
    </cfRule>
    <cfRule type="cellIs" dxfId="346" priority="16" operator="equal">
      <formula>"Built Ford Tough"</formula>
    </cfRule>
    <cfRule type="cellIs" dxfId="345" priority="8" operator="equal">
      <formula>"DoughBoy$"</formula>
    </cfRule>
    <cfRule type="cellIs" dxfId="344" priority="9" operator="equal">
      <formula>"Django Achaned"</formula>
    </cfRule>
    <cfRule type="cellIs" dxfId="343" priority="10" operator="equal">
      <formula>"Gimme Moore"</formula>
    </cfRule>
    <cfRule type="cellIs" dxfId="342" priority="11" operator="equal">
      <formula>"Blitz"</formula>
    </cfRule>
    <cfRule type="cellIs" dxfId="341" priority="12" operator="equal">
      <formula>"Team Martens"</formula>
    </cfRule>
    <cfRule type="cellIs" dxfId="340" priority="13" operator="equal">
      <formula>"Silence of the Lamb"</formula>
    </cfRule>
    <cfRule type="cellIs" dxfId="339" priority="15" operator="equal">
      <formula>"Are you winning son?"</formula>
    </cfRule>
    <cfRule type="cellIs" dxfId="338" priority="17" operator="equal">
      <formula>"Slingin' Herb"</formula>
    </cfRule>
    <cfRule type="cellIs" dxfId="337" priority="18" operator="equal">
      <formula>"Tig Bits"</formula>
    </cfRule>
    <cfRule type="cellIs" dxfId="336" priority="19" operator="equal">
      <formula>"GibSons of Anarchy"</formula>
    </cfRule>
  </conditionalFormatting>
  <conditionalFormatting sqref="BC24:BC39">
    <cfRule type="cellIs" dxfId="335" priority="72" operator="equal">
      <formula>"Are you winning son?"</formula>
    </cfRule>
    <cfRule type="cellIs" dxfId="334" priority="74" operator="equal">
      <formula>"Slingin' Herb"</formula>
    </cfRule>
    <cfRule type="cellIs" dxfId="333" priority="75" operator="equal">
      <formula>"Tig Bits"</formula>
    </cfRule>
    <cfRule type="cellIs" dxfId="332" priority="65" operator="equal">
      <formula>"DoughBoy$"</formula>
    </cfRule>
    <cfRule type="cellIs" dxfId="331" priority="73" operator="equal">
      <formula>"Built Ford Tough"</formula>
    </cfRule>
    <cfRule type="cellIs" dxfId="330" priority="66" operator="equal">
      <formula>"Django Achaned"</formula>
    </cfRule>
    <cfRule type="cellIs" dxfId="329" priority="67" operator="equal">
      <formula>"Gimme Moore"</formula>
    </cfRule>
    <cfRule type="cellIs" dxfId="328" priority="68" operator="equal">
      <formula>"Blitz"</formula>
    </cfRule>
    <cfRule type="cellIs" dxfId="327" priority="69" operator="equal">
      <formula>"Team Martens"</formula>
    </cfRule>
    <cfRule type="cellIs" dxfId="326" priority="70" operator="equal">
      <formula>"Silence of the Lamb"</formula>
    </cfRule>
    <cfRule type="cellIs" dxfId="325" priority="71" operator="equal">
      <formula>"Suck My Footballz"</formula>
    </cfRule>
    <cfRule type="cellIs" dxfId="324" priority="76" operator="equal">
      <formula>"GibSons of Anarchy"</formula>
    </cfRule>
  </conditionalFormatting>
  <conditionalFormatting sqref="BC42:BC57">
    <cfRule type="cellIs" dxfId="323" priority="184" operator="equal">
      <formula>"Silence of the Lamb"</formula>
    </cfRule>
    <cfRule type="cellIs" dxfId="322" priority="185" operator="equal">
      <formula>"Suck My Footballz"</formula>
    </cfRule>
    <cfRule type="cellIs" dxfId="321" priority="188" operator="equal">
      <formula>"Slingin' Herb"</formula>
    </cfRule>
    <cfRule type="cellIs" dxfId="320" priority="186" operator="equal">
      <formula>"Are you winning son?"</formula>
    </cfRule>
    <cfRule type="cellIs" dxfId="319" priority="187" operator="equal">
      <formula>"Built Ford Tough"</formula>
    </cfRule>
    <cfRule type="cellIs" dxfId="318" priority="189" operator="equal">
      <formula>"Tig Bits"</formula>
    </cfRule>
    <cfRule type="cellIs" dxfId="317" priority="190" operator="equal">
      <formula>"GibSons of Anarchy"</formula>
    </cfRule>
    <cfRule type="cellIs" dxfId="316" priority="181" operator="equal">
      <formula>"Gimme Moore"</formula>
    </cfRule>
    <cfRule type="cellIs" dxfId="315" priority="182" operator="equal">
      <formula>"Blitz"</formula>
    </cfRule>
    <cfRule type="cellIs" dxfId="314" priority="183" operator="equal">
      <formula>"Team Martens"</formula>
    </cfRule>
    <cfRule type="cellIs" dxfId="313" priority="179" operator="equal">
      <formula>"DoughBoy$"</formula>
    </cfRule>
    <cfRule type="cellIs" dxfId="312" priority="180" operator="equal">
      <formula>"Django Achaned"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E923-7F03-481D-9B2B-851DC76031C7}">
  <dimension ref="B1:AD366"/>
  <sheetViews>
    <sheetView tabSelected="1" topLeftCell="A93" zoomScale="115" zoomScaleNormal="115" workbookViewId="0">
      <selection activeCell="S186" sqref="S186"/>
    </sheetView>
  </sheetViews>
  <sheetFormatPr defaultRowHeight="14.5" x14ac:dyDescent="0.35"/>
  <cols>
    <col min="1" max="1" width="4.6328125" customWidth="1"/>
    <col min="2" max="2" width="6.36328125" bestFit="1" customWidth="1"/>
    <col min="3" max="3" width="9.36328125" bestFit="1" customWidth="1"/>
    <col min="4" max="4" width="16.36328125" bestFit="1" customWidth="1"/>
    <col min="5" max="5" width="9.90625" bestFit="1" customWidth="1"/>
    <col min="6" max="6" width="8.90625" bestFit="1" customWidth="1"/>
    <col min="7" max="7" width="8.90625" customWidth="1"/>
    <col min="8" max="8" width="10.36328125" bestFit="1" customWidth="1"/>
    <col min="9" max="9" width="11" bestFit="1" customWidth="1"/>
    <col min="10" max="10" width="8.26953125" bestFit="1" customWidth="1"/>
    <col min="11" max="11" width="7.90625" customWidth="1"/>
    <col min="12" max="12" width="26.08984375" bestFit="1" customWidth="1"/>
    <col min="13" max="13" width="10" bestFit="1" customWidth="1"/>
    <col min="14" max="14" width="10.81640625" bestFit="1" customWidth="1"/>
    <col min="15" max="15" width="9" bestFit="1" customWidth="1"/>
    <col min="16" max="17" width="3.1796875" customWidth="1"/>
    <col min="18" max="18" width="6.36328125" customWidth="1"/>
    <col min="19" max="19" width="9.36328125" customWidth="1"/>
    <col min="20" max="20" width="11.453125" bestFit="1" customWidth="1"/>
    <col min="21" max="21" width="9.90625" bestFit="1" customWidth="1"/>
    <col min="22" max="22" width="8.90625" bestFit="1" customWidth="1"/>
    <col min="23" max="24" width="10.36328125" customWidth="1"/>
    <col min="25" max="25" width="11" customWidth="1"/>
    <col min="26" max="26" width="8.26953125" customWidth="1"/>
    <col min="27" max="27" width="12.7265625" bestFit="1" customWidth="1"/>
    <col min="28" max="28" width="19" bestFit="1" customWidth="1"/>
    <col min="29" max="29" width="12" bestFit="1" customWidth="1"/>
    <col min="30" max="30" width="11.36328125" bestFit="1" customWidth="1"/>
  </cols>
  <sheetData>
    <row r="1" spans="2:30" ht="18.5" x14ac:dyDescent="0.45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R1" s="53" t="s">
        <v>151</v>
      </c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</row>
    <row r="2" spans="2:30" ht="29.5" thickBot="1" x14ac:dyDescent="0.4">
      <c r="B2" s="19" t="s">
        <v>2</v>
      </c>
      <c r="C2" s="19" t="s">
        <v>143</v>
      </c>
      <c r="D2" s="19" t="s">
        <v>3</v>
      </c>
      <c r="E2" s="19" t="s">
        <v>4</v>
      </c>
      <c r="F2" s="18" t="s">
        <v>5</v>
      </c>
      <c r="G2" s="18" t="s">
        <v>6</v>
      </c>
      <c r="H2" s="19" t="s">
        <v>170</v>
      </c>
      <c r="I2" s="19" t="s">
        <v>171</v>
      </c>
      <c r="J2" s="18" t="s">
        <v>7</v>
      </c>
      <c r="K2" s="18" t="s">
        <v>152</v>
      </c>
      <c r="L2" s="19" t="s">
        <v>142</v>
      </c>
      <c r="M2" s="19" t="s">
        <v>139</v>
      </c>
      <c r="N2" s="19" t="s">
        <v>140</v>
      </c>
      <c r="O2" s="19" t="s">
        <v>141</v>
      </c>
      <c r="R2" s="21" t="s">
        <v>2</v>
      </c>
      <c r="S2" s="19" t="s">
        <v>143</v>
      </c>
      <c r="T2" s="19" t="s">
        <v>3</v>
      </c>
      <c r="U2" s="19" t="s">
        <v>4</v>
      </c>
      <c r="V2" s="18" t="s">
        <v>5</v>
      </c>
      <c r="W2" s="18" t="s">
        <v>6</v>
      </c>
      <c r="X2" s="19" t="s">
        <v>170</v>
      </c>
      <c r="Y2" s="19" t="s">
        <v>171</v>
      </c>
      <c r="Z2" s="18" t="s">
        <v>7</v>
      </c>
      <c r="AA2" s="18" t="s">
        <v>152</v>
      </c>
      <c r="AB2" s="22" t="s">
        <v>142</v>
      </c>
      <c r="AC2" s="18" t="s">
        <v>425</v>
      </c>
      <c r="AD2" s="27" t="s">
        <v>426</v>
      </c>
    </row>
    <row r="3" spans="2:30" x14ac:dyDescent="0.35">
      <c r="B3" s="8">
        <v>20</v>
      </c>
      <c r="C3" s="8">
        <v>4</v>
      </c>
      <c r="D3" s="46" t="s">
        <v>49</v>
      </c>
      <c r="E3" s="9" t="s">
        <v>23</v>
      </c>
      <c r="F3" s="9" t="s">
        <v>24</v>
      </c>
      <c r="G3" s="10">
        <v>246.66</v>
      </c>
      <c r="H3" s="10">
        <v>336.4</v>
      </c>
      <c r="I3" s="10">
        <v>265.5</v>
      </c>
      <c r="J3" s="10">
        <f>AVERAGE(Table5[[#This Row],[23 Pts]:[25 Proj]])</f>
        <v>282.8533333333333</v>
      </c>
      <c r="K3" s="32">
        <f>Table5[[#This Row],[Avg]]/17</f>
        <v>16.638431372549018</v>
      </c>
      <c r="L3" s="9" t="s">
        <v>428</v>
      </c>
      <c r="M3">
        <v>3</v>
      </c>
      <c r="N3">
        <v>1</v>
      </c>
      <c r="R3" s="15">
        <v>24</v>
      </c>
      <c r="S3" s="5">
        <v>6</v>
      </c>
      <c r="T3" s="5" t="s">
        <v>43</v>
      </c>
      <c r="U3" s="4" t="s">
        <v>44</v>
      </c>
      <c r="V3" s="4" t="s">
        <v>35</v>
      </c>
      <c r="W3" s="6">
        <v>262.72000000000003</v>
      </c>
      <c r="X3" s="6">
        <v>403</v>
      </c>
      <c r="Y3" s="6">
        <v>320</v>
      </c>
      <c r="Z3" s="6">
        <f>AVERAGE(Table8[[#This Row],[23 Pts]:[25 Proj]])</f>
        <v>328.57333333333332</v>
      </c>
      <c r="AA3" s="35">
        <f>Table8[[#This Row],[Avg]]/17</f>
        <v>19.327843137254902</v>
      </c>
      <c r="AB3" s="33" t="s">
        <v>150</v>
      </c>
      <c r="AC3" s="8">
        <v>12</v>
      </c>
      <c r="AD3" s="8">
        <v>1</v>
      </c>
    </row>
    <row r="4" spans="2:30" x14ac:dyDescent="0.35">
      <c r="B4" s="8">
        <v>51</v>
      </c>
      <c r="C4" s="8">
        <v>15</v>
      </c>
      <c r="D4" s="46" t="s">
        <v>341</v>
      </c>
      <c r="E4" s="9" t="s">
        <v>59</v>
      </c>
      <c r="F4" s="9" t="s">
        <v>35</v>
      </c>
      <c r="G4" s="10">
        <v>209.2</v>
      </c>
      <c r="H4" s="10">
        <v>267.8</v>
      </c>
      <c r="I4" s="10">
        <v>239.6</v>
      </c>
      <c r="J4" s="10">
        <f>AVERAGE(Table5[[#This Row],[23 Pts]:[25 Proj]])</f>
        <v>238.86666666666667</v>
      </c>
      <c r="K4" s="32">
        <f>Table5[[#This Row],[Avg]]/17</f>
        <v>14.050980392156863</v>
      </c>
      <c r="L4" s="9" t="s">
        <v>428</v>
      </c>
      <c r="M4">
        <v>22</v>
      </c>
      <c r="N4">
        <v>2</v>
      </c>
      <c r="R4" s="15">
        <v>19</v>
      </c>
      <c r="S4" s="5">
        <v>2</v>
      </c>
      <c r="T4" s="5" t="s">
        <v>337</v>
      </c>
      <c r="U4" s="4" t="s">
        <v>27</v>
      </c>
      <c r="V4" s="4" t="s">
        <v>35</v>
      </c>
      <c r="W4" s="6" t="s">
        <v>60</v>
      </c>
      <c r="X4" s="6">
        <v>284</v>
      </c>
      <c r="Y4" s="6">
        <v>268.8</v>
      </c>
      <c r="Z4" s="6">
        <f>AVERAGE(Table8[[#This Row],[23 Pts]:[25 Proj]])</f>
        <v>276.39999999999998</v>
      </c>
      <c r="AA4" s="35">
        <f>Table8[[#This Row],[Avg]]/17</f>
        <v>16.258823529411764</v>
      </c>
      <c r="AB4" s="33" t="s">
        <v>429</v>
      </c>
      <c r="AC4" s="8">
        <v>11</v>
      </c>
      <c r="AD4" s="8">
        <v>2</v>
      </c>
    </row>
    <row r="5" spans="2:30" x14ac:dyDescent="0.35">
      <c r="B5" s="8">
        <v>57</v>
      </c>
      <c r="C5" s="8">
        <v>17</v>
      </c>
      <c r="D5" s="46" t="s">
        <v>82</v>
      </c>
      <c r="E5" s="9" t="s">
        <v>20</v>
      </c>
      <c r="F5" s="9" t="s">
        <v>35</v>
      </c>
      <c r="G5" s="10">
        <v>213.2</v>
      </c>
      <c r="H5" s="10">
        <v>251.9</v>
      </c>
      <c r="I5" s="10">
        <v>223.9</v>
      </c>
      <c r="J5" s="10">
        <f>AVERAGE(Table5[[#This Row],[23 Pts]:[25 Proj]])</f>
        <v>229.66666666666666</v>
      </c>
      <c r="K5" s="32">
        <f>Table5[[#This Row],[Avg]]/17</f>
        <v>13.509803921568627</v>
      </c>
      <c r="L5" s="9" t="s">
        <v>428</v>
      </c>
      <c r="M5">
        <v>27</v>
      </c>
      <c r="N5">
        <v>3</v>
      </c>
      <c r="R5" s="15">
        <v>28</v>
      </c>
      <c r="S5" s="5">
        <v>4</v>
      </c>
      <c r="T5" s="5" t="s">
        <v>30</v>
      </c>
      <c r="U5" s="4" t="s">
        <v>31</v>
      </c>
      <c r="V5" s="4" t="s">
        <v>24</v>
      </c>
      <c r="W5" s="6">
        <v>246.3</v>
      </c>
      <c r="X5" s="6">
        <v>341.7</v>
      </c>
      <c r="Y5" s="6">
        <v>297.7</v>
      </c>
      <c r="Z5" s="6">
        <f>AVERAGE(Table8[[#This Row],[23 Pts]:[25 Proj]])</f>
        <v>295.23333333333335</v>
      </c>
      <c r="AA5" s="35">
        <f>Table8[[#This Row],[Avg]]/17</f>
        <v>17.366666666666667</v>
      </c>
      <c r="AB5" s="33" t="s">
        <v>428</v>
      </c>
      <c r="AC5" s="8">
        <v>10</v>
      </c>
      <c r="AD5" s="8">
        <v>3</v>
      </c>
    </row>
    <row r="6" spans="2:30" x14ac:dyDescent="0.35">
      <c r="B6" s="8">
        <v>70</v>
      </c>
      <c r="C6" s="8">
        <v>23</v>
      </c>
      <c r="D6" s="46" t="s">
        <v>348</v>
      </c>
      <c r="E6" s="9" t="s">
        <v>52</v>
      </c>
      <c r="F6" s="9" t="s">
        <v>35</v>
      </c>
      <c r="G6" s="10">
        <v>225.4</v>
      </c>
      <c r="H6" s="10">
        <v>191.2</v>
      </c>
      <c r="I6" s="10">
        <v>209</v>
      </c>
      <c r="J6" s="10">
        <f>AVERAGE(Table5[[#This Row],[23 Pts]:[25 Proj]])</f>
        <v>208.53333333333333</v>
      </c>
      <c r="K6" s="32">
        <f>Table5[[#This Row],[Avg]]/17</f>
        <v>12.266666666666666</v>
      </c>
      <c r="L6" s="9" t="s">
        <v>428</v>
      </c>
      <c r="M6">
        <v>46</v>
      </c>
      <c r="N6">
        <v>4</v>
      </c>
      <c r="R6" s="17">
        <v>48</v>
      </c>
      <c r="S6" s="7">
        <v>15</v>
      </c>
      <c r="T6" s="5" t="s">
        <v>25</v>
      </c>
      <c r="U6" s="4" t="s">
        <v>23</v>
      </c>
      <c r="V6" s="4" t="s">
        <v>10</v>
      </c>
      <c r="W6" s="6">
        <v>338.22</v>
      </c>
      <c r="X6" s="6">
        <v>434.38</v>
      </c>
      <c r="Y6" s="6">
        <v>351.21</v>
      </c>
      <c r="Z6" s="6">
        <f>AVERAGE(Table8[[#This Row],[23 Pts]:[25 Proj]])</f>
        <v>374.6033333333333</v>
      </c>
      <c r="AA6" s="35">
        <f>Table8[[#This Row],[Avg]]/17</f>
        <v>22.035490196078428</v>
      </c>
      <c r="AB6" s="33" t="s">
        <v>147</v>
      </c>
      <c r="AC6" s="8">
        <v>9</v>
      </c>
      <c r="AD6" s="8">
        <v>4</v>
      </c>
    </row>
    <row r="7" spans="2:30" x14ac:dyDescent="0.35">
      <c r="B7" s="8">
        <v>11</v>
      </c>
      <c r="C7" s="8">
        <v>8</v>
      </c>
      <c r="D7" s="46" t="s">
        <v>36</v>
      </c>
      <c r="E7" s="9" t="s">
        <v>22</v>
      </c>
      <c r="F7" s="9" t="s">
        <v>10</v>
      </c>
      <c r="G7" s="10">
        <v>294.22000000000003</v>
      </c>
      <c r="H7" s="10">
        <v>294.02</v>
      </c>
      <c r="I7" s="10">
        <v>318.66000000000003</v>
      </c>
      <c r="J7" s="10">
        <f>AVERAGE(Table5[[#This Row],[23 Pts]:[25 Proj]])</f>
        <v>302.3</v>
      </c>
      <c r="K7" s="32">
        <f>Table5[[#This Row],[Avg]]/17</f>
        <v>17.78235294117647</v>
      </c>
      <c r="L7" s="9" t="s">
        <v>428</v>
      </c>
      <c r="M7">
        <v>51</v>
      </c>
      <c r="N7">
        <v>5</v>
      </c>
      <c r="R7" s="15">
        <v>34</v>
      </c>
      <c r="S7" s="5">
        <v>5</v>
      </c>
      <c r="T7" s="5" t="s">
        <v>339</v>
      </c>
      <c r="U7" s="4" t="s">
        <v>31</v>
      </c>
      <c r="V7" s="4" t="s">
        <v>35</v>
      </c>
      <c r="W7" s="6">
        <v>174.38</v>
      </c>
      <c r="X7" s="6">
        <v>280.8</v>
      </c>
      <c r="Y7" s="6">
        <v>247.2</v>
      </c>
      <c r="Z7" s="6">
        <f>AVERAGE(Table8[[#This Row],[23 Pts]:[25 Proj]])</f>
        <v>234.12666666666667</v>
      </c>
      <c r="AA7" s="35">
        <f>Table8[[#This Row],[Avg]]/17</f>
        <v>13.772156862745097</v>
      </c>
      <c r="AB7" s="33" t="s">
        <v>427</v>
      </c>
      <c r="AC7" s="8">
        <v>8</v>
      </c>
      <c r="AD7" s="8">
        <v>5</v>
      </c>
    </row>
    <row r="8" spans="2:30" x14ac:dyDescent="0.35">
      <c r="B8" s="8">
        <v>146</v>
      </c>
      <c r="C8" s="8">
        <v>12</v>
      </c>
      <c r="D8" s="46" t="s">
        <v>232</v>
      </c>
      <c r="E8" s="9" t="s">
        <v>94</v>
      </c>
      <c r="F8" s="9" t="s">
        <v>424</v>
      </c>
      <c r="G8" s="10">
        <v>230.3</v>
      </c>
      <c r="H8" s="10">
        <v>59.5</v>
      </c>
      <c r="I8" s="10">
        <v>147.6</v>
      </c>
      <c r="J8" s="10">
        <f>AVERAGE(Table5[[#This Row],[23 Pts]:[25 Proj]])</f>
        <v>145.79999999999998</v>
      </c>
      <c r="K8" s="32">
        <f>Table5[[#This Row],[Avg]]/17</f>
        <v>8.5764705882352938</v>
      </c>
      <c r="L8" s="9" t="s">
        <v>428</v>
      </c>
      <c r="M8">
        <v>70</v>
      </c>
      <c r="N8">
        <v>6</v>
      </c>
      <c r="R8" s="17">
        <v>47</v>
      </c>
      <c r="S8" s="7">
        <v>14</v>
      </c>
      <c r="T8" s="5" t="s">
        <v>61</v>
      </c>
      <c r="U8" s="4" t="s">
        <v>18</v>
      </c>
      <c r="V8" s="4" t="s">
        <v>24</v>
      </c>
      <c r="W8" s="6">
        <v>223.2</v>
      </c>
      <c r="X8" s="6">
        <v>355.3</v>
      </c>
      <c r="Y8" s="6">
        <v>296.2</v>
      </c>
      <c r="Z8" s="6">
        <f>AVERAGE(Table8[[#This Row],[23 Pts]:[25 Proj]])</f>
        <v>291.56666666666666</v>
      </c>
      <c r="AA8" s="35">
        <f>Table8[[#This Row],[Avg]]/17</f>
        <v>17.150980392156864</v>
      </c>
      <c r="AB8" s="33" t="s">
        <v>146</v>
      </c>
      <c r="AC8" s="8">
        <v>7</v>
      </c>
      <c r="AD8" s="8">
        <v>6</v>
      </c>
    </row>
    <row r="9" spans="2:30" x14ac:dyDescent="0.35">
      <c r="B9" s="8">
        <v>85</v>
      </c>
      <c r="C9" s="8">
        <v>22</v>
      </c>
      <c r="D9" s="46" t="s">
        <v>26</v>
      </c>
      <c r="E9" s="9" t="s">
        <v>27</v>
      </c>
      <c r="F9" s="9" t="s">
        <v>24</v>
      </c>
      <c r="G9" s="10">
        <v>282.39999999999998</v>
      </c>
      <c r="H9" s="10">
        <v>130.19999999999999</v>
      </c>
      <c r="I9" s="10">
        <v>168.6</v>
      </c>
      <c r="J9" s="10">
        <f>AVERAGE(Table5[[#This Row],[23 Pts]:[25 Proj]])</f>
        <v>193.73333333333332</v>
      </c>
      <c r="K9" s="32">
        <f>Table5[[#This Row],[Avg]]/17</f>
        <v>11.396078431372548</v>
      </c>
      <c r="L9" s="9" t="s">
        <v>428</v>
      </c>
      <c r="M9">
        <v>75</v>
      </c>
      <c r="N9">
        <v>7</v>
      </c>
      <c r="R9" s="17">
        <v>5</v>
      </c>
      <c r="S9" s="7">
        <v>1</v>
      </c>
      <c r="T9" s="5" t="s">
        <v>13</v>
      </c>
      <c r="U9" s="4" t="s">
        <v>14</v>
      </c>
      <c r="V9" s="4" t="s">
        <v>35</v>
      </c>
      <c r="W9" s="6">
        <v>403.2</v>
      </c>
      <c r="X9" s="6">
        <v>263.39999999999998</v>
      </c>
      <c r="Y9" s="6">
        <v>288.60000000000002</v>
      </c>
      <c r="Z9" s="6">
        <f>AVERAGE(Table8[[#This Row],[23 Pts]:[25 Proj]])</f>
        <v>318.39999999999998</v>
      </c>
      <c r="AA9" s="35">
        <f>Table8[[#This Row],[Avg]]/17</f>
        <v>18.72941176470588</v>
      </c>
      <c r="AB9" s="33" t="s">
        <v>158</v>
      </c>
      <c r="AC9" s="8">
        <v>6</v>
      </c>
      <c r="AD9" s="8">
        <v>7</v>
      </c>
    </row>
    <row r="10" spans="2:30" x14ac:dyDescent="0.35">
      <c r="B10" s="8">
        <v>124</v>
      </c>
      <c r="C10" s="8">
        <v>50</v>
      </c>
      <c r="D10" s="46" t="s">
        <v>371</v>
      </c>
      <c r="E10" s="9" t="s">
        <v>9</v>
      </c>
      <c r="F10" s="9" t="s">
        <v>35</v>
      </c>
      <c r="G10" s="10">
        <v>113.1</v>
      </c>
      <c r="H10" s="10">
        <v>182.5</v>
      </c>
      <c r="I10" s="10">
        <v>172.6</v>
      </c>
      <c r="J10" s="10">
        <f>AVERAGE(Table5[[#This Row],[23 Pts]:[25 Proj]])</f>
        <v>156.06666666666669</v>
      </c>
      <c r="K10" s="32">
        <f>Table5[[#This Row],[Avg]]/17</f>
        <v>9.1803921568627462</v>
      </c>
      <c r="L10" s="9" t="s">
        <v>428</v>
      </c>
      <c r="M10">
        <v>94</v>
      </c>
      <c r="N10">
        <v>8</v>
      </c>
      <c r="R10" s="15">
        <v>17</v>
      </c>
      <c r="S10" s="5">
        <v>3</v>
      </c>
      <c r="T10" s="5" t="s">
        <v>28</v>
      </c>
      <c r="U10" s="4" t="s">
        <v>16</v>
      </c>
      <c r="V10" s="4" t="s">
        <v>35</v>
      </c>
      <c r="W10" s="6">
        <v>330.9</v>
      </c>
      <c r="X10" s="6">
        <v>316.18</v>
      </c>
      <c r="Y10" s="6">
        <v>271.3</v>
      </c>
      <c r="Z10" s="6">
        <f>AVERAGE(Table8[[#This Row],[23 Pts]:[25 Proj]])</f>
        <v>306.12666666666661</v>
      </c>
      <c r="AA10" s="35">
        <f>Table8[[#This Row],[Avg]]/17</f>
        <v>18.007450980392154</v>
      </c>
      <c r="AB10" s="33" t="s">
        <v>145</v>
      </c>
      <c r="AC10" s="8">
        <v>5</v>
      </c>
      <c r="AD10" s="8">
        <v>8</v>
      </c>
    </row>
    <row r="11" spans="2:30" x14ac:dyDescent="0.35">
      <c r="B11" s="8">
        <v>48</v>
      </c>
      <c r="C11" s="8">
        <v>11</v>
      </c>
      <c r="D11" s="46" t="s">
        <v>57</v>
      </c>
      <c r="E11" s="9" t="s">
        <v>48</v>
      </c>
      <c r="F11" s="9" t="s">
        <v>24</v>
      </c>
      <c r="G11" s="10">
        <v>267</v>
      </c>
      <c r="H11" s="10">
        <v>240.5</v>
      </c>
      <c r="I11" s="10">
        <v>214.9</v>
      </c>
      <c r="J11" s="10">
        <f>AVERAGE(Table5[[#This Row],[23 Pts]:[25 Proj]])</f>
        <v>240.79999999999998</v>
      </c>
      <c r="K11" s="32">
        <f>Table5[[#This Row],[Avg]]/17</f>
        <v>14.164705882352941</v>
      </c>
      <c r="L11" s="9" t="s">
        <v>428</v>
      </c>
      <c r="M11">
        <v>99</v>
      </c>
      <c r="N11">
        <v>9</v>
      </c>
      <c r="R11" s="15">
        <v>1</v>
      </c>
      <c r="S11" s="5">
        <v>1</v>
      </c>
      <c r="T11" s="5" t="s">
        <v>8</v>
      </c>
      <c r="U11" s="4" t="s">
        <v>9</v>
      </c>
      <c r="V11" s="4" t="s">
        <v>10</v>
      </c>
      <c r="W11" s="6">
        <v>410.64</v>
      </c>
      <c r="X11" s="6">
        <v>385.04</v>
      </c>
      <c r="Y11" s="6">
        <v>359.06</v>
      </c>
      <c r="Z11" s="6">
        <f>AVERAGE(Table8[[#This Row],[23 Pts]:[25 Proj]])</f>
        <v>384.91333333333336</v>
      </c>
      <c r="AA11" s="35">
        <f>Table8[[#This Row],[Avg]]/17</f>
        <v>22.641960784313728</v>
      </c>
      <c r="AB11" s="33" t="s">
        <v>157</v>
      </c>
      <c r="AC11" s="8">
        <v>4</v>
      </c>
      <c r="AD11" s="8">
        <v>9</v>
      </c>
    </row>
    <row r="12" spans="2:30" x14ac:dyDescent="0.35">
      <c r="B12" s="8">
        <v>100</v>
      </c>
      <c r="C12" s="8">
        <v>29</v>
      </c>
      <c r="D12" s="46" t="s">
        <v>181</v>
      </c>
      <c r="E12" s="9" t="s">
        <v>34</v>
      </c>
      <c r="F12" s="9" t="s">
        <v>24</v>
      </c>
      <c r="G12" s="10" t="s">
        <v>60</v>
      </c>
      <c r="H12" s="10" t="s">
        <v>60</v>
      </c>
      <c r="I12" s="10">
        <v>180.4</v>
      </c>
      <c r="J12" s="10">
        <f>AVERAGE(Table5[[#This Row],[23 Pts]:[25 Proj]])</f>
        <v>180.4</v>
      </c>
      <c r="K12" s="32">
        <f>Table5[[#This Row],[Avg]]/17</f>
        <v>10.611764705882353</v>
      </c>
      <c r="L12" s="9" t="s">
        <v>428</v>
      </c>
      <c r="M12">
        <v>118</v>
      </c>
      <c r="N12">
        <v>10</v>
      </c>
      <c r="R12" s="15">
        <v>42</v>
      </c>
      <c r="S12" s="5">
        <v>8</v>
      </c>
      <c r="T12" s="5" t="s">
        <v>338</v>
      </c>
      <c r="U12" s="4" t="s">
        <v>87</v>
      </c>
      <c r="V12" s="4" t="s">
        <v>35</v>
      </c>
      <c r="W12" s="6" t="s">
        <v>60</v>
      </c>
      <c r="X12" s="6">
        <v>273.60000000000002</v>
      </c>
      <c r="Y12" s="6">
        <v>263.7</v>
      </c>
      <c r="Z12" s="6">
        <f>AVERAGE(Table8[[#This Row],[23 Pts]:[25 Proj]])</f>
        <v>268.64999999999998</v>
      </c>
      <c r="AA12" s="35">
        <f>Table8[[#This Row],[Avg]]/17</f>
        <v>15.802941176470586</v>
      </c>
      <c r="AB12" s="33" t="s">
        <v>148</v>
      </c>
      <c r="AC12" s="8">
        <v>3</v>
      </c>
      <c r="AD12" s="8">
        <v>10</v>
      </c>
    </row>
    <row r="13" spans="2:30" x14ac:dyDescent="0.35">
      <c r="B13" s="8">
        <v>188</v>
      </c>
      <c r="C13" s="8">
        <v>7</v>
      </c>
      <c r="D13" s="46" t="s">
        <v>271</v>
      </c>
      <c r="E13" s="9" t="s">
        <v>18</v>
      </c>
      <c r="F13" s="9" t="s">
        <v>1</v>
      </c>
      <c r="G13" s="10">
        <v>102</v>
      </c>
      <c r="H13" s="10">
        <v>152</v>
      </c>
      <c r="I13" s="10">
        <v>132</v>
      </c>
      <c r="J13" s="10">
        <f>AVERAGE(Table5[[#This Row],[23 Pts]:[25 Proj]])</f>
        <v>128.66666666666666</v>
      </c>
      <c r="K13" s="32">
        <f>Table5[[#This Row],[Avg]]/17</f>
        <v>7.5686274509803919</v>
      </c>
      <c r="L13" s="9" t="s">
        <v>428</v>
      </c>
      <c r="M13">
        <v>123</v>
      </c>
      <c r="N13">
        <v>11</v>
      </c>
      <c r="R13" s="17">
        <v>49</v>
      </c>
      <c r="S13" s="7">
        <v>16</v>
      </c>
      <c r="T13" s="5" t="s">
        <v>92</v>
      </c>
      <c r="U13" s="4" t="s">
        <v>40</v>
      </c>
      <c r="V13" s="4" t="s">
        <v>24</v>
      </c>
      <c r="W13" s="6">
        <v>181.1</v>
      </c>
      <c r="X13" s="6">
        <v>283.10000000000002</v>
      </c>
      <c r="Y13" s="6">
        <v>254.5</v>
      </c>
      <c r="Z13" s="6">
        <f>AVERAGE(Table8[[#This Row],[23 Pts]:[25 Proj]])</f>
        <v>239.56666666666669</v>
      </c>
      <c r="AA13" s="35">
        <f>Table8[[#This Row],[Avg]]/17</f>
        <v>14.092156862745099</v>
      </c>
      <c r="AB13" s="33" t="s">
        <v>149</v>
      </c>
      <c r="AC13" s="8">
        <v>2</v>
      </c>
      <c r="AD13" s="8">
        <v>11</v>
      </c>
    </row>
    <row r="14" spans="2:30" x14ac:dyDescent="0.35">
      <c r="B14" s="8">
        <v>19</v>
      </c>
      <c r="C14" s="8">
        <v>13</v>
      </c>
      <c r="D14" s="46" t="s">
        <v>39</v>
      </c>
      <c r="E14" s="9" t="s">
        <v>40</v>
      </c>
      <c r="F14" s="9" t="s">
        <v>10</v>
      </c>
      <c r="G14" s="10">
        <v>330.06</v>
      </c>
      <c r="H14" s="10">
        <v>244.86</v>
      </c>
      <c r="I14" s="10">
        <v>274.56</v>
      </c>
      <c r="J14" s="10">
        <f>AVERAGE(Table5[[#This Row],[23 Pts]:[25 Proj]])</f>
        <v>283.16000000000003</v>
      </c>
      <c r="K14" s="32">
        <f>Table5[[#This Row],[Avg]]/17</f>
        <v>16.656470588235294</v>
      </c>
      <c r="L14" s="9" t="s">
        <v>428</v>
      </c>
      <c r="M14">
        <v>142</v>
      </c>
      <c r="N14">
        <v>12</v>
      </c>
      <c r="R14" s="16">
        <v>22</v>
      </c>
      <c r="S14" s="12">
        <v>4</v>
      </c>
      <c r="T14" s="12" t="s">
        <v>335</v>
      </c>
      <c r="U14" s="13" t="s">
        <v>38</v>
      </c>
      <c r="V14" s="13" t="s">
        <v>35</v>
      </c>
      <c r="W14" s="34">
        <v>298.5</v>
      </c>
      <c r="X14" s="34">
        <v>206.6</v>
      </c>
      <c r="Y14" s="34">
        <v>276.2</v>
      </c>
      <c r="Z14" s="6">
        <f>AVERAGE(Table8[[#This Row],[23 Pts]:[25 Proj]])</f>
        <v>260.43333333333334</v>
      </c>
      <c r="AA14" s="35">
        <f>Table8[[#This Row],[Avg]]/17</f>
        <v>15.319607843137256</v>
      </c>
      <c r="AB14" s="36" t="s">
        <v>144</v>
      </c>
      <c r="AC14" s="8">
        <v>1</v>
      </c>
      <c r="AD14" s="8">
        <v>12</v>
      </c>
    </row>
    <row r="15" spans="2:30" x14ac:dyDescent="0.35">
      <c r="B15" s="8">
        <v>152</v>
      </c>
      <c r="C15" s="8">
        <v>10</v>
      </c>
      <c r="D15" s="46" t="s">
        <v>317</v>
      </c>
      <c r="E15" s="9" t="s">
        <v>94</v>
      </c>
      <c r="F15" s="9" t="s">
        <v>117</v>
      </c>
      <c r="G15" s="10">
        <v>129</v>
      </c>
      <c r="H15" s="10">
        <v>160</v>
      </c>
      <c r="I15" s="10">
        <v>139</v>
      </c>
      <c r="J15" s="10">
        <f>AVERAGE(Table5[[#This Row],[23 Pts]:[25 Proj]])</f>
        <v>142.66666666666666</v>
      </c>
      <c r="K15" s="32">
        <f>Table5[[#This Row],[Avg]]/17</f>
        <v>8.3921568627450966</v>
      </c>
      <c r="L15" s="9" t="s">
        <v>428</v>
      </c>
      <c r="M15">
        <v>147</v>
      </c>
      <c r="N15">
        <v>13</v>
      </c>
    </row>
    <row r="16" spans="2:30" x14ac:dyDescent="0.35">
      <c r="B16" s="8">
        <v>297</v>
      </c>
      <c r="C16" s="8">
        <v>38</v>
      </c>
      <c r="D16" s="46" t="s">
        <v>240</v>
      </c>
      <c r="E16" s="9" t="s">
        <v>27</v>
      </c>
      <c r="F16" s="9" t="s">
        <v>424</v>
      </c>
      <c r="G16" s="10">
        <v>14.5</v>
      </c>
      <c r="H16" s="10">
        <v>91.1</v>
      </c>
      <c r="I16" s="10">
        <v>114.2</v>
      </c>
      <c r="J16" s="10">
        <f>AVERAGE(Table5[[#This Row],[23 Pts]:[25 Proj]])</f>
        <v>73.266666666666666</v>
      </c>
      <c r="K16" s="32">
        <f>Table5[[#This Row],[Avg]]/17</f>
        <v>4.3098039215686272</v>
      </c>
      <c r="L16" s="9" t="s">
        <v>428</v>
      </c>
      <c r="M16">
        <v>166</v>
      </c>
      <c r="N16">
        <v>14</v>
      </c>
    </row>
    <row r="17" spans="2:14" x14ac:dyDescent="0.35">
      <c r="B17" s="8">
        <v>107</v>
      </c>
      <c r="C17" s="8">
        <v>41</v>
      </c>
      <c r="D17" s="46" t="s">
        <v>386</v>
      </c>
      <c r="E17" s="9" t="s">
        <v>104</v>
      </c>
      <c r="F17" s="9" t="s">
        <v>35</v>
      </c>
      <c r="G17" s="10">
        <v>231</v>
      </c>
      <c r="H17" s="10">
        <v>139.5</v>
      </c>
      <c r="I17" s="10">
        <v>140.4</v>
      </c>
      <c r="J17" s="10">
        <f>AVERAGE(Table5[[#This Row],[23 Pts]:[25 Proj]])</f>
        <v>170.29999999999998</v>
      </c>
      <c r="K17" s="32">
        <f>Table5[[#This Row],[Avg]]/17</f>
        <v>10.017647058823528</v>
      </c>
      <c r="L17" s="9" t="s">
        <v>428</v>
      </c>
      <c r="M17">
        <v>171</v>
      </c>
      <c r="N17">
        <v>15</v>
      </c>
    </row>
    <row r="18" spans="2:14" x14ac:dyDescent="0.35">
      <c r="B18" s="8">
        <v>14</v>
      </c>
      <c r="C18" s="8">
        <v>2</v>
      </c>
      <c r="D18" s="38" t="s">
        <v>30</v>
      </c>
      <c r="E18" s="9" t="s">
        <v>31</v>
      </c>
      <c r="F18" s="9" t="s">
        <v>24</v>
      </c>
      <c r="G18" s="10">
        <v>246.3</v>
      </c>
      <c r="H18" s="10">
        <v>341.7</v>
      </c>
      <c r="I18" s="10">
        <v>297.7</v>
      </c>
      <c r="J18" s="10">
        <f>AVERAGE(Table5[[#This Row],[23 Pts]:[25 Proj]])</f>
        <v>295.23333333333335</v>
      </c>
      <c r="K18" s="32">
        <f>Table5[[#This Row],[Avg]]/17</f>
        <v>17.366666666666667</v>
      </c>
      <c r="L18" s="9" t="s">
        <v>428</v>
      </c>
      <c r="M18">
        <v>190</v>
      </c>
      <c r="N18">
        <v>16</v>
      </c>
    </row>
    <row r="19" spans="2:14" x14ac:dyDescent="0.35">
      <c r="B19" s="8">
        <v>64</v>
      </c>
      <c r="C19" s="8">
        <v>17</v>
      </c>
      <c r="D19" s="46" t="s">
        <v>89</v>
      </c>
      <c r="E19" s="9" t="s">
        <v>73</v>
      </c>
      <c r="F19" s="9" t="s">
        <v>24</v>
      </c>
      <c r="G19" s="10">
        <v>156.4</v>
      </c>
      <c r="H19" s="10">
        <v>244.7</v>
      </c>
      <c r="I19" s="10">
        <v>242.4</v>
      </c>
      <c r="J19" s="10">
        <f>AVERAGE(Table5[[#This Row],[23 Pts]:[25 Proj]])</f>
        <v>214.5</v>
      </c>
      <c r="K19" s="32">
        <f>Table5[[#This Row],[Avg]]/17</f>
        <v>12.617647058823529</v>
      </c>
      <c r="L19" s="9" t="s">
        <v>148</v>
      </c>
      <c r="M19">
        <v>10</v>
      </c>
      <c r="N19">
        <v>1</v>
      </c>
    </row>
    <row r="20" spans="2:14" x14ac:dyDescent="0.35">
      <c r="B20" s="8">
        <v>36</v>
      </c>
      <c r="C20" s="8">
        <v>1</v>
      </c>
      <c r="D20" s="46" t="s">
        <v>77</v>
      </c>
      <c r="E20" s="9" t="s">
        <v>65</v>
      </c>
      <c r="F20" s="9" t="s">
        <v>424</v>
      </c>
      <c r="G20" s="10" t="s">
        <v>60</v>
      </c>
      <c r="H20" s="10">
        <v>262.7</v>
      </c>
      <c r="I20" s="10">
        <v>238.8</v>
      </c>
      <c r="J20" s="10">
        <f>AVERAGE(Table5[[#This Row],[23 Pts]:[25 Proj]])</f>
        <v>250.75</v>
      </c>
      <c r="K20" s="32">
        <f>Table5[[#This Row],[Avg]]/17</f>
        <v>14.75</v>
      </c>
      <c r="L20" s="9" t="s">
        <v>148</v>
      </c>
      <c r="M20">
        <v>15</v>
      </c>
      <c r="N20">
        <v>2</v>
      </c>
    </row>
    <row r="21" spans="2:14" x14ac:dyDescent="0.35">
      <c r="B21" s="8">
        <v>66</v>
      </c>
      <c r="C21" s="8">
        <v>18</v>
      </c>
      <c r="D21" s="46" t="s">
        <v>119</v>
      </c>
      <c r="E21" s="9" t="s">
        <v>104</v>
      </c>
      <c r="F21" s="9" t="s">
        <v>24</v>
      </c>
      <c r="G21" s="10">
        <v>182.5</v>
      </c>
      <c r="H21" s="10">
        <v>241.6</v>
      </c>
      <c r="I21" s="10">
        <v>214.8</v>
      </c>
      <c r="J21" s="10">
        <f>AVERAGE(Table5[[#This Row],[23 Pts]:[25 Proj]])</f>
        <v>212.9666666666667</v>
      </c>
      <c r="K21" s="32">
        <f>Table5[[#This Row],[Avg]]/17</f>
        <v>12.527450980392159</v>
      </c>
      <c r="L21" s="9" t="s">
        <v>148</v>
      </c>
      <c r="M21">
        <v>34</v>
      </c>
      <c r="N21">
        <v>3</v>
      </c>
    </row>
    <row r="22" spans="2:14" x14ac:dyDescent="0.35">
      <c r="B22" s="8">
        <v>46</v>
      </c>
      <c r="C22" s="8">
        <v>14</v>
      </c>
      <c r="D22" s="46" t="s">
        <v>345</v>
      </c>
      <c r="E22" s="9" t="s">
        <v>38</v>
      </c>
      <c r="F22" s="9" t="s">
        <v>35</v>
      </c>
      <c r="G22" s="10">
        <v>265.39999999999998</v>
      </c>
      <c r="H22" s="10">
        <v>241.3</v>
      </c>
      <c r="I22" s="10">
        <v>217.8</v>
      </c>
      <c r="J22" s="10">
        <f>AVERAGE(Table5[[#This Row],[23 Pts]:[25 Proj]])</f>
        <v>241.5</v>
      </c>
      <c r="K22" s="32">
        <f>Table5[[#This Row],[Avg]]/17</f>
        <v>14.205882352941176</v>
      </c>
      <c r="L22" s="9" t="s">
        <v>148</v>
      </c>
      <c r="M22">
        <v>39</v>
      </c>
      <c r="N22">
        <v>4</v>
      </c>
    </row>
    <row r="23" spans="2:14" x14ac:dyDescent="0.35">
      <c r="B23" s="8">
        <v>133</v>
      </c>
      <c r="C23" s="8">
        <v>36</v>
      </c>
      <c r="D23" s="46" t="s">
        <v>64</v>
      </c>
      <c r="E23" s="9" t="s">
        <v>22</v>
      </c>
      <c r="F23" s="9" t="s">
        <v>24</v>
      </c>
      <c r="G23" s="10">
        <v>213.9</v>
      </c>
      <c r="H23" s="10">
        <v>56.9</v>
      </c>
      <c r="I23" s="10">
        <v>179.5</v>
      </c>
      <c r="J23" s="10">
        <f>AVERAGE(Table5[[#This Row],[23 Pts]:[25 Proj]])</f>
        <v>150.1</v>
      </c>
      <c r="K23" s="32">
        <f>Table5[[#This Row],[Avg]]/17</f>
        <v>8.8294117647058812</v>
      </c>
      <c r="L23" s="9" t="s">
        <v>148</v>
      </c>
      <c r="M23">
        <v>58</v>
      </c>
      <c r="N23">
        <v>5</v>
      </c>
    </row>
    <row r="24" spans="2:14" x14ac:dyDescent="0.35">
      <c r="B24" s="8">
        <v>32</v>
      </c>
      <c r="C24" s="8">
        <v>19</v>
      </c>
      <c r="D24" s="46" t="s">
        <v>29</v>
      </c>
      <c r="E24" s="9" t="s">
        <v>14</v>
      </c>
      <c r="F24" s="9" t="s">
        <v>10</v>
      </c>
      <c r="G24" s="10">
        <v>351.84</v>
      </c>
      <c r="H24" s="10">
        <v>124.52</v>
      </c>
      <c r="I24" s="10">
        <v>283.10000000000002</v>
      </c>
      <c r="J24" s="10">
        <f>AVERAGE(Table5[[#This Row],[23 Pts]:[25 Proj]])</f>
        <v>253.15333333333334</v>
      </c>
      <c r="K24" s="32">
        <f>Table5[[#This Row],[Avg]]/17</f>
        <v>14.891372549019607</v>
      </c>
      <c r="L24" s="9" t="s">
        <v>148</v>
      </c>
      <c r="M24">
        <v>63</v>
      </c>
      <c r="N24">
        <v>6</v>
      </c>
    </row>
    <row r="25" spans="2:14" x14ac:dyDescent="0.35">
      <c r="B25" s="8">
        <v>92</v>
      </c>
      <c r="C25" s="8">
        <v>36</v>
      </c>
      <c r="D25" s="46" t="s">
        <v>369</v>
      </c>
      <c r="E25" s="9" t="s">
        <v>83</v>
      </c>
      <c r="F25" s="9" t="s">
        <v>35</v>
      </c>
      <c r="G25" s="10">
        <v>273.8</v>
      </c>
      <c r="H25" s="10">
        <v>121.92</v>
      </c>
      <c r="I25" s="10">
        <v>173.7</v>
      </c>
      <c r="J25" s="10">
        <f>AVERAGE(Table5[[#This Row],[23 Pts]:[25 Proj]])</f>
        <v>189.8066666666667</v>
      </c>
      <c r="K25" s="32">
        <f>Table5[[#This Row],[Avg]]/17</f>
        <v>11.165098039215689</v>
      </c>
      <c r="L25" s="9" t="s">
        <v>148</v>
      </c>
      <c r="M25">
        <v>82</v>
      </c>
      <c r="N25">
        <v>7</v>
      </c>
    </row>
    <row r="26" spans="2:14" x14ac:dyDescent="0.35">
      <c r="B26" s="8">
        <v>131</v>
      </c>
      <c r="C26" s="8">
        <v>54</v>
      </c>
      <c r="D26" s="46" t="s">
        <v>360</v>
      </c>
      <c r="E26" s="9" t="s">
        <v>12</v>
      </c>
      <c r="F26" s="9" t="s">
        <v>35</v>
      </c>
      <c r="G26" s="10">
        <v>51.5</v>
      </c>
      <c r="H26" s="10">
        <v>210.5</v>
      </c>
      <c r="I26" s="10">
        <v>193.1</v>
      </c>
      <c r="J26" s="10">
        <f>AVERAGE(Table5[[#This Row],[23 Pts]:[25 Proj]])</f>
        <v>151.70000000000002</v>
      </c>
      <c r="K26" s="32">
        <f>Table5[[#This Row],[Avg]]/17</f>
        <v>8.9235294117647062</v>
      </c>
      <c r="L26" s="9" t="s">
        <v>148</v>
      </c>
      <c r="M26">
        <v>87</v>
      </c>
      <c r="N26">
        <v>8</v>
      </c>
    </row>
    <row r="27" spans="2:14" x14ac:dyDescent="0.35">
      <c r="B27" s="8">
        <v>61</v>
      </c>
      <c r="C27" s="8">
        <v>26</v>
      </c>
      <c r="D27" s="46" t="s">
        <v>111</v>
      </c>
      <c r="E27" s="9" t="s">
        <v>20</v>
      </c>
      <c r="F27" s="9" t="s">
        <v>10</v>
      </c>
      <c r="G27" s="10">
        <v>239.18</v>
      </c>
      <c r="H27" s="10">
        <v>120.14</v>
      </c>
      <c r="I27" s="10">
        <v>289.14</v>
      </c>
      <c r="J27" s="10">
        <f>AVERAGE(Table5[[#This Row],[23 Pts]:[25 Proj]])</f>
        <v>216.15333333333334</v>
      </c>
      <c r="K27" s="32">
        <f>Table5[[#This Row],[Avg]]/17</f>
        <v>12.714901960784314</v>
      </c>
      <c r="L27" s="9" t="s">
        <v>148</v>
      </c>
      <c r="M27">
        <v>106</v>
      </c>
      <c r="N27">
        <v>9</v>
      </c>
    </row>
    <row r="28" spans="2:14" x14ac:dyDescent="0.35">
      <c r="B28" s="8">
        <v>208</v>
      </c>
      <c r="C28" s="8">
        <v>45</v>
      </c>
      <c r="D28" s="46" t="s">
        <v>187</v>
      </c>
      <c r="E28" s="9" t="s">
        <v>27</v>
      </c>
      <c r="F28" s="9" t="s">
        <v>24</v>
      </c>
      <c r="G28" s="10" t="s">
        <v>60</v>
      </c>
      <c r="H28" s="10">
        <v>129</v>
      </c>
      <c r="I28" s="10">
        <v>108.7</v>
      </c>
      <c r="J28" s="10">
        <f>AVERAGE(Table5[[#This Row],[23 Pts]:[25 Proj]])</f>
        <v>118.85</v>
      </c>
      <c r="K28" s="32">
        <f>Table5[[#This Row],[Avg]]/17</f>
        <v>6.9911764705882353</v>
      </c>
      <c r="L28" s="9" t="s">
        <v>148</v>
      </c>
      <c r="M28">
        <v>111</v>
      </c>
      <c r="N28">
        <v>10</v>
      </c>
    </row>
    <row r="29" spans="2:14" x14ac:dyDescent="0.35">
      <c r="B29" s="8">
        <v>178</v>
      </c>
      <c r="C29" s="8">
        <v>15</v>
      </c>
      <c r="D29" s="46" t="s">
        <v>237</v>
      </c>
      <c r="E29" s="9" t="s">
        <v>83</v>
      </c>
      <c r="F29" s="9" t="s">
        <v>424</v>
      </c>
      <c r="G29" s="10">
        <v>119.9</v>
      </c>
      <c r="H29" s="10">
        <v>145.4</v>
      </c>
      <c r="I29" s="10">
        <v>132.4</v>
      </c>
      <c r="J29" s="10">
        <f>AVERAGE(Table5[[#This Row],[23 Pts]:[25 Proj]])</f>
        <v>132.56666666666669</v>
      </c>
      <c r="K29" s="32">
        <f>Table5[[#This Row],[Avg]]/17</f>
        <v>7.7980392156862761</v>
      </c>
      <c r="L29" s="9" t="s">
        <v>148</v>
      </c>
      <c r="M29">
        <v>130</v>
      </c>
      <c r="N29">
        <v>11</v>
      </c>
    </row>
    <row r="30" spans="2:14" x14ac:dyDescent="0.35">
      <c r="B30" s="8">
        <v>166</v>
      </c>
      <c r="C30" s="8">
        <v>60</v>
      </c>
      <c r="D30" s="46" t="s">
        <v>370</v>
      </c>
      <c r="E30" s="9" t="s">
        <v>62</v>
      </c>
      <c r="F30" s="9" t="s">
        <v>35</v>
      </c>
      <c r="G30" s="10">
        <v>155.6</v>
      </c>
      <c r="H30" s="10">
        <v>79.8</v>
      </c>
      <c r="I30" s="10">
        <v>173.4</v>
      </c>
      <c r="J30" s="10">
        <f>AVERAGE(Table5[[#This Row],[23 Pts]:[25 Proj]])</f>
        <v>136.26666666666665</v>
      </c>
      <c r="K30" s="32">
        <f>Table5[[#This Row],[Avg]]/17</f>
        <v>8.0156862745098039</v>
      </c>
      <c r="L30" s="9" t="s">
        <v>148</v>
      </c>
      <c r="M30">
        <v>135</v>
      </c>
      <c r="N30">
        <v>12</v>
      </c>
    </row>
    <row r="31" spans="2:14" x14ac:dyDescent="0.35">
      <c r="B31" s="8">
        <v>292</v>
      </c>
      <c r="C31" s="8">
        <v>62</v>
      </c>
      <c r="D31" s="46" t="s">
        <v>193</v>
      </c>
      <c r="E31" s="9" t="s">
        <v>34</v>
      </c>
      <c r="F31" s="9" t="s">
        <v>24</v>
      </c>
      <c r="G31" s="10" t="s">
        <v>60</v>
      </c>
      <c r="H31" s="10" t="s">
        <v>60</v>
      </c>
      <c r="I31" s="10">
        <v>78.2</v>
      </c>
      <c r="J31" s="10">
        <f>AVERAGE(Table5[[#This Row],[23 Pts]:[25 Proj]])</f>
        <v>78.2</v>
      </c>
      <c r="K31" s="32">
        <f>Table5[[#This Row],[Avg]]/17</f>
        <v>4.6000000000000005</v>
      </c>
      <c r="L31" s="9" t="s">
        <v>148</v>
      </c>
      <c r="M31">
        <v>154</v>
      </c>
      <c r="N31">
        <v>13</v>
      </c>
    </row>
    <row r="32" spans="2:14" x14ac:dyDescent="0.35">
      <c r="B32" s="8">
        <v>154</v>
      </c>
      <c r="C32" s="8">
        <v>3</v>
      </c>
      <c r="D32" s="46" t="s">
        <v>275</v>
      </c>
      <c r="E32" s="9" t="s">
        <v>51</v>
      </c>
      <c r="F32" s="9" t="s">
        <v>1</v>
      </c>
      <c r="G32" s="10">
        <v>125</v>
      </c>
      <c r="H32" s="10">
        <v>140</v>
      </c>
      <c r="I32" s="10">
        <v>162</v>
      </c>
      <c r="J32" s="10">
        <f>AVERAGE(Table5[[#This Row],[23 Pts]:[25 Proj]])</f>
        <v>142.33333333333334</v>
      </c>
      <c r="K32" s="32">
        <f>Table5[[#This Row],[Avg]]/17</f>
        <v>8.3725490196078436</v>
      </c>
      <c r="L32" s="9" t="s">
        <v>148</v>
      </c>
      <c r="M32">
        <v>159</v>
      </c>
      <c r="N32">
        <v>14</v>
      </c>
    </row>
    <row r="33" spans="2:14" x14ac:dyDescent="0.35">
      <c r="B33" s="8">
        <v>135</v>
      </c>
      <c r="C33" s="8">
        <v>5</v>
      </c>
      <c r="D33" s="46" t="s">
        <v>308</v>
      </c>
      <c r="E33" s="9" t="s">
        <v>42</v>
      </c>
      <c r="F33" s="9" t="s">
        <v>117</v>
      </c>
      <c r="G33" s="10">
        <v>136</v>
      </c>
      <c r="H33" s="10">
        <v>164</v>
      </c>
      <c r="I33" s="10">
        <v>146</v>
      </c>
      <c r="J33" s="10">
        <f>AVERAGE(Table5[[#This Row],[23 Pts]:[25 Proj]])</f>
        <v>148.66666666666666</v>
      </c>
      <c r="K33" s="32">
        <f>Table5[[#This Row],[Avg]]/17</f>
        <v>8.7450980392156854</v>
      </c>
      <c r="L33" s="9" t="s">
        <v>148</v>
      </c>
      <c r="M33">
        <v>178</v>
      </c>
      <c r="N33">
        <v>15</v>
      </c>
    </row>
    <row r="34" spans="2:14" x14ac:dyDescent="0.35">
      <c r="B34" s="8">
        <v>26</v>
      </c>
      <c r="C34" s="8">
        <v>7</v>
      </c>
      <c r="D34" s="38" t="s">
        <v>338</v>
      </c>
      <c r="E34" s="9" t="s">
        <v>87</v>
      </c>
      <c r="F34" s="9" t="s">
        <v>35</v>
      </c>
      <c r="G34" s="10" t="s">
        <v>60</v>
      </c>
      <c r="H34" s="10">
        <v>273.60000000000002</v>
      </c>
      <c r="I34" s="10">
        <v>263.7</v>
      </c>
      <c r="J34" s="10">
        <f>AVERAGE(Table5[[#This Row],[23 Pts]:[25 Proj]])</f>
        <v>268.64999999999998</v>
      </c>
      <c r="K34" s="32">
        <f>Table5[[#This Row],[Avg]]/17</f>
        <v>15.802941176470586</v>
      </c>
      <c r="L34" s="9" t="s">
        <v>148</v>
      </c>
      <c r="M34">
        <v>183</v>
      </c>
      <c r="N34">
        <v>16</v>
      </c>
    </row>
    <row r="35" spans="2:14" x14ac:dyDescent="0.35">
      <c r="B35" s="8">
        <v>25</v>
      </c>
      <c r="C35" s="8">
        <v>6</v>
      </c>
      <c r="D35" s="46" t="s">
        <v>76</v>
      </c>
      <c r="E35" s="9" t="s">
        <v>51</v>
      </c>
      <c r="F35" s="9" t="s">
        <v>35</v>
      </c>
      <c r="G35" s="10">
        <v>202.2</v>
      </c>
      <c r="H35" s="10">
        <v>317.48</v>
      </c>
      <c r="I35" s="10">
        <v>289.39999999999998</v>
      </c>
      <c r="J35" s="10">
        <f>AVERAGE(Table5[[#This Row],[23 Pts]:[25 Proj]])</f>
        <v>269.69333333333333</v>
      </c>
      <c r="K35" s="32">
        <f>Table5[[#This Row],[Avg]]/17</f>
        <v>15.864313725490195</v>
      </c>
      <c r="L35" s="9" t="s">
        <v>429</v>
      </c>
      <c r="M35">
        <v>2</v>
      </c>
      <c r="N35">
        <v>1</v>
      </c>
    </row>
    <row r="36" spans="2:14" x14ac:dyDescent="0.35">
      <c r="B36" s="8">
        <v>3</v>
      </c>
      <c r="C36" s="8">
        <v>3</v>
      </c>
      <c r="D36" s="46" t="s">
        <v>58</v>
      </c>
      <c r="E36" s="9" t="s">
        <v>59</v>
      </c>
      <c r="F36" s="9" t="s">
        <v>10</v>
      </c>
      <c r="G36" s="10" t="s">
        <v>60</v>
      </c>
      <c r="H36" s="10">
        <v>364.82</v>
      </c>
      <c r="I36" s="10">
        <v>350.52</v>
      </c>
      <c r="J36" s="10">
        <f>AVERAGE(Table5[[#This Row],[23 Pts]:[25 Proj]])</f>
        <v>357.66999999999996</v>
      </c>
      <c r="K36" s="32">
        <f>Table5[[#This Row],[Avg]]/17</f>
        <v>21.039411764705878</v>
      </c>
      <c r="L36" s="9" t="s">
        <v>429</v>
      </c>
      <c r="M36">
        <v>23</v>
      </c>
      <c r="N36">
        <v>2</v>
      </c>
    </row>
    <row r="37" spans="2:14" x14ac:dyDescent="0.35">
      <c r="B37" s="8">
        <v>33</v>
      </c>
      <c r="C37" s="8">
        <v>9</v>
      </c>
      <c r="D37" s="46" t="s">
        <v>343</v>
      </c>
      <c r="E37" s="9" t="s">
        <v>42</v>
      </c>
      <c r="F37" s="9" t="s">
        <v>35</v>
      </c>
      <c r="G37" s="10">
        <v>282.5</v>
      </c>
      <c r="H37" s="10">
        <v>240.4</v>
      </c>
      <c r="I37" s="10">
        <v>231.3</v>
      </c>
      <c r="J37" s="10">
        <f>AVERAGE(Table5[[#This Row],[23 Pts]:[25 Proj]])</f>
        <v>251.4</v>
      </c>
      <c r="K37" s="32">
        <f>Table5[[#This Row],[Avg]]/17</f>
        <v>14.788235294117648</v>
      </c>
      <c r="L37" s="9" t="s">
        <v>429</v>
      </c>
      <c r="M37">
        <v>26</v>
      </c>
      <c r="N37">
        <v>3</v>
      </c>
    </row>
    <row r="38" spans="2:14" x14ac:dyDescent="0.35">
      <c r="B38" s="8">
        <v>95</v>
      </c>
      <c r="C38" s="8">
        <v>25</v>
      </c>
      <c r="D38" s="46" t="s">
        <v>179</v>
      </c>
      <c r="E38" s="9" t="s">
        <v>94</v>
      </c>
      <c r="F38" s="9" t="s">
        <v>24</v>
      </c>
      <c r="G38" s="10" t="s">
        <v>60</v>
      </c>
      <c r="H38" s="10" t="s">
        <v>60</v>
      </c>
      <c r="I38" s="10">
        <v>185.2</v>
      </c>
      <c r="J38" s="10">
        <f>AVERAGE(Table5[[#This Row],[23 Pts]:[25 Proj]])</f>
        <v>185.2</v>
      </c>
      <c r="K38" s="32">
        <f>Table5[[#This Row],[Avg]]/17</f>
        <v>10.894117647058822</v>
      </c>
      <c r="L38" s="9" t="s">
        <v>429</v>
      </c>
      <c r="M38">
        <v>47</v>
      </c>
      <c r="N38">
        <v>4</v>
      </c>
    </row>
    <row r="39" spans="2:14" x14ac:dyDescent="0.35">
      <c r="B39" s="8">
        <v>114</v>
      </c>
      <c r="C39" s="8">
        <v>33</v>
      </c>
      <c r="D39" s="46" t="s">
        <v>183</v>
      </c>
      <c r="E39" s="9" t="s">
        <v>52</v>
      </c>
      <c r="F39" s="9" t="s">
        <v>24</v>
      </c>
      <c r="G39" s="10" t="s">
        <v>60</v>
      </c>
      <c r="H39" s="10" t="s">
        <v>60</v>
      </c>
      <c r="I39" s="10">
        <v>167.2</v>
      </c>
      <c r="J39" s="10">
        <f>AVERAGE(Table5[[#This Row],[23 Pts]:[25 Proj]])</f>
        <v>167.2</v>
      </c>
      <c r="K39" s="32">
        <f>Table5[[#This Row],[Avg]]/17</f>
        <v>9.8352941176470576</v>
      </c>
      <c r="L39" s="9" t="s">
        <v>429</v>
      </c>
      <c r="M39">
        <v>50</v>
      </c>
      <c r="N39">
        <v>5</v>
      </c>
    </row>
    <row r="40" spans="2:14" x14ac:dyDescent="0.35">
      <c r="B40" s="8">
        <v>111</v>
      </c>
      <c r="C40" s="8">
        <v>32</v>
      </c>
      <c r="D40" s="46" t="s">
        <v>136</v>
      </c>
      <c r="E40" s="9" t="s">
        <v>87</v>
      </c>
      <c r="F40" s="9" t="s">
        <v>24</v>
      </c>
      <c r="G40" s="10" t="s">
        <v>60</v>
      </c>
      <c r="H40" s="10">
        <v>182.3</v>
      </c>
      <c r="I40" s="10">
        <v>155.5</v>
      </c>
      <c r="J40" s="10">
        <f>AVERAGE(Table5[[#This Row],[23 Pts]:[25 Proj]])</f>
        <v>168.9</v>
      </c>
      <c r="K40" s="32">
        <f>Table5[[#This Row],[Avg]]/17</f>
        <v>9.9352941176470591</v>
      </c>
      <c r="L40" s="9" t="s">
        <v>429</v>
      </c>
      <c r="M40">
        <v>71</v>
      </c>
      <c r="N40">
        <v>6</v>
      </c>
    </row>
    <row r="41" spans="2:14" x14ac:dyDescent="0.35">
      <c r="B41" s="8">
        <v>350</v>
      </c>
      <c r="C41" s="8">
        <v>94</v>
      </c>
      <c r="D41" s="46" t="s">
        <v>431</v>
      </c>
      <c r="E41" s="9" t="s">
        <v>59</v>
      </c>
      <c r="F41" s="9" t="s">
        <v>24</v>
      </c>
      <c r="G41" s="10">
        <v>37.9</v>
      </c>
      <c r="H41" s="10">
        <v>31.5</v>
      </c>
      <c r="I41" s="10">
        <v>47.6</v>
      </c>
      <c r="J41" s="10">
        <f>AVERAGE(Table5[[#This Row],[23 Pts]:[25 Proj]])</f>
        <v>39</v>
      </c>
      <c r="K41" s="32">
        <f>Table5[[#This Row],[Avg]]/17</f>
        <v>2.2941176470588234</v>
      </c>
      <c r="L41" s="9" t="s">
        <v>429</v>
      </c>
      <c r="M41">
        <v>74</v>
      </c>
      <c r="N41">
        <v>7</v>
      </c>
    </row>
    <row r="42" spans="2:14" x14ac:dyDescent="0.35">
      <c r="B42" s="8">
        <v>142</v>
      </c>
      <c r="C42" s="8">
        <v>11</v>
      </c>
      <c r="D42" s="46" t="s">
        <v>231</v>
      </c>
      <c r="E42" s="9" t="s">
        <v>73</v>
      </c>
      <c r="F42" s="9" t="s">
        <v>424</v>
      </c>
      <c r="G42" s="10" t="s">
        <v>60</v>
      </c>
      <c r="H42" s="10" t="s">
        <v>60</v>
      </c>
      <c r="I42" s="10">
        <v>146.5</v>
      </c>
      <c r="J42" s="10">
        <f>AVERAGE(Table5[[#This Row],[23 Pts]:[25 Proj]])</f>
        <v>146.5</v>
      </c>
      <c r="K42" s="32">
        <f>Table5[[#This Row],[Avg]]/17</f>
        <v>8.617647058823529</v>
      </c>
      <c r="L42" s="9" t="s">
        <v>429</v>
      </c>
      <c r="M42">
        <v>95</v>
      </c>
      <c r="N42">
        <v>8</v>
      </c>
    </row>
    <row r="43" spans="2:14" x14ac:dyDescent="0.35">
      <c r="B43" s="8">
        <v>183</v>
      </c>
      <c r="C43" s="8">
        <v>69</v>
      </c>
      <c r="D43" s="46" t="s">
        <v>382</v>
      </c>
      <c r="E43" s="9" t="s">
        <v>9</v>
      </c>
      <c r="F43" s="9" t="s">
        <v>35</v>
      </c>
      <c r="G43" s="10" t="s">
        <v>60</v>
      </c>
      <c r="H43" s="10">
        <v>111.5</v>
      </c>
      <c r="I43" s="10">
        <v>150.5</v>
      </c>
      <c r="J43" s="10">
        <f>AVERAGE(Table5[[#This Row],[23 Pts]:[25 Proj]])</f>
        <v>131</v>
      </c>
      <c r="K43" s="32">
        <f>Table5[[#This Row],[Avg]]/17</f>
        <v>7.7058823529411766</v>
      </c>
      <c r="L43" s="9" t="s">
        <v>429</v>
      </c>
      <c r="M43">
        <v>98</v>
      </c>
      <c r="N43">
        <v>9</v>
      </c>
    </row>
    <row r="44" spans="2:14" x14ac:dyDescent="0.35">
      <c r="B44" s="8">
        <v>165</v>
      </c>
      <c r="C44" s="8">
        <v>42</v>
      </c>
      <c r="D44" s="46" t="s">
        <v>185</v>
      </c>
      <c r="E44" s="9" t="s">
        <v>87</v>
      </c>
      <c r="F44" s="9" t="s">
        <v>24</v>
      </c>
      <c r="G44" s="10" t="s">
        <v>60</v>
      </c>
      <c r="H44" s="10" t="s">
        <v>60</v>
      </c>
      <c r="I44" s="10">
        <v>136.30000000000001</v>
      </c>
      <c r="J44" s="10">
        <f>AVERAGE(Table5[[#This Row],[23 Pts]:[25 Proj]])</f>
        <v>136.30000000000001</v>
      </c>
      <c r="K44" s="32">
        <f>Table5[[#This Row],[Avg]]/17</f>
        <v>8.0176470588235293</v>
      </c>
      <c r="L44" s="9" t="s">
        <v>429</v>
      </c>
      <c r="M44">
        <v>119</v>
      </c>
      <c r="N44">
        <v>10</v>
      </c>
    </row>
    <row r="45" spans="2:14" x14ac:dyDescent="0.35">
      <c r="B45" s="8">
        <v>182</v>
      </c>
      <c r="C45" s="8">
        <v>68</v>
      </c>
      <c r="D45" s="46" t="s">
        <v>385</v>
      </c>
      <c r="E45" s="9" t="s">
        <v>23</v>
      </c>
      <c r="F45" s="9" t="s">
        <v>35</v>
      </c>
      <c r="G45" s="10">
        <v>76.5</v>
      </c>
      <c r="H45" s="10">
        <v>174.6</v>
      </c>
      <c r="I45" s="10">
        <v>142.9</v>
      </c>
      <c r="J45" s="10">
        <f>AVERAGE(Table5[[#This Row],[23 Pts]:[25 Proj]])</f>
        <v>131.33333333333334</v>
      </c>
      <c r="K45" s="32">
        <f>Table5[[#This Row],[Avg]]/17</f>
        <v>7.7254901960784323</v>
      </c>
      <c r="L45" s="9" t="s">
        <v>429</v>
      </c>
      <c r="M45">
        <v>122</v>
      </c>
      <c r="N45">
        <v>11</v>
      </c>
    </row>
    <row r="46" spans="2:14" x14ac:dyDescent="0.35">
      <c r="B46" s="8">
        <v>18</v>
      </c>
      <c r="C46" s="8">
        <v>12</v>
      </c>
      <c r="D46" s="46" t="s">
        <v>132</v>
      </c>
      <c r="E46" s="9" t="s">
        <v>51</v>
      </c>
      <c r="F46" s="9" t="s">
        <v>10</v>
      </c>
      <c r="G46" s="10" t="s">
        <v>60</v>
      </c>
      <c r="H46" s="10" t="s">
        <v>60</v>
      </c>
      <c r="I46" s="10">
        <v>284.16000000000003</v>
      </c>
      <c r="J46" s="10">
        <f>AVERAGE(Table5[[#This Row],[23 Pts]:[25 Proj]])</f>
        <v>284.16000000000003</v>
      </c>
      <c r="K46" s="32">
        <f>Table5[[#This Row],[Avg]]/17</f>
        <v>16.715294117647062</v>
      </c>
      <c r="L46" s="9" t="s">
        <v>429</v>
      </c>
      <c r="M46">
        <v>143</v>
      </c>
      <c r="N46">
        <v>12</v>
      </c>
    </row>
    <row r="47" spans="2:14" x14ac:dyDescent="0.35">
      <c r="B47" s="8">
        <v>233</v>
      </c>
      <c r="C47" s="8">
        <v>50</v>
      </c>
      <c r="D47" s="46" t="s">
        <v>186</v>
      </c>
      <c r="E47" s="9" t="s">
        <v>14</v>
      </c>
      <c r="F47" s="9" t="s">
        <v>24</v>
      </c>
      <c r="G47" s="10" t="s">
        <v>60</v>
      </c>
      <c r="H47" s="10" t="s">
        <v>60</v>
      </c>
      <c r="I47" s="10">
        <v>110.1</v>
      </c>
      <c r="J47" s="10">
        <f>AVERAGE(Table5[[#This Row],[23 Pts]:[25 Proj]])</f>
        <v>110.1</v>
      </c>
      <c r="K47" s="32">
        <f>Table5[[#This Row],[Avg]]/17</f>
        <v>6.4764705882352942</v>
      </c>
      <c r="L47" s="9" t="s">
        <v>429</v>
      </c>
      <c r="M47">
        <v>146</v>
      </c>
      <c r="N47">
        <v>13</v>
      </c>
    </row>
    <row r="48" spans="2:14" x14ac:dyDescent="0.35">
      <c r="B48" s="8">
        <v>247</v>
      </c>
      <c r="C48" s="8">
        <v>22</v>
      </c>
      <c r="D48" s="46" t="s">
        <v>281</v>
      </c>
      <c r="E48" s="9" t="s">
        <v>38</v>
      </c>
      <c r="F48" s="9" t="s">
        <v>1</v>
      </c>
      <c r="G48" s="10">
        <v>83</v>
      </c>
      <c r="H48" s="10">
        <v>114</v>
      </c>
      <c r="I48" s="10">
        <v>118</v>
      </c>
      <c r="J48" s="10">
        <f>AVERAGE(Table5[[#This Row],[23 Pts]:[25 Proj]])</f>
        <v>105</v>
      </c>
      <c r="K48" s="32">
        <f>Table5[[#This Row],[Avg]]/17</f>
        <v>6.1764705882352944</v>
      </c>
      <c r="L48" s="9" t="s">
        <v>429</v>
      </c>
      <c r="M48">
        <v>167</v>
      </c>
      <c r="N48">
        <v>14</v>
      </c>
    </row>
    <row r="49" spans="2:14" x14ac:dyDescent="0.35">
      <c r="B49" s="8">
        <v>198</v>
      </c>
      <c r="C49" s="8">
        <v>24</v>
      </c>
      <c r="D49" s="46" t="s">
        <v>312</v>
      </c>
      <c r="E49" s="9" t="s">
        <v>44</v>
      </c>
      <c r="F49" s="9" t="s">
        <v>117</v>
      </c>
      <c r="G49" s="10">
        <v>140</v>
      </c>
      <c r="H49" s="10">
        <v>94</v>
      </c>
      <c r="I49" s="10">
        <v>142</v>
      </c>
      <c r="J49" s="10">
        <f>AVERAGE(Table5[[#This Row],[23 Pts]:[25 Proj]])</f>
        <v>125.33333333333333</v>
      </c>
      <c r="K49" s="32">
        <f>Table5[[#This Row],[Avg]]/17</f>
        <v>7.3725490196078427</v>
      </c>
      <c r="L49" s="9" t="s">
        <v>429</v>
      </c>
      <c r="M49">
        <v>170</v>
      </c>
      <c r="N49">
        <v>15</v>
      </c>
    </row>
    <row r="50" spans="2:14" x14ac:dyDescent="0.35">
      <c r="B50" s="8">
        <v>22</v>
      </c>
      <c r="C50" s="8">
        <v>5</v>
      </c>
      <c r="D50" s="38" t="s">
        <v>337</v>
      </c>
      <c r="E50" s="9" t="s">
        <v>27</v>
      </c>
      <c r="F50" s="9" t="s">
        <v>35</v>
      </c>
      <c r="G50" s="10" t="s">
        <v>60</v>
      </c>
      <c r="H50" s="10">
        <v>284</v>
      </c>
      <c r="I50" s="10">
        <v>268.8</v>
      </c>
      <c r="J50" s="10">
        <f>AVERAGE(Table5[[#This Row],[23 Pts]:[25 Proj]])</f>
        <v>276.39999999999998</v>
      </c>
      <c r="K50" s="32">
        <f>Table5[[#This Row],[Avg]]/17</f>
        <v>16.258823529411764</v>
      </c>
      <c r="L50" s="9" t="s">
        <v>429</v>
      </c>
      <c r="M50">
        <v>191</v>
      </c>
      <c r="N50">
        <v>16</v>
      </c>
    </row>
    <row r="51" spans="2:14" x14ac:dyDescent="0.35">
      <c r="B51" s="8">
        <v>40</v>
      </c>
      <c r="C51" s="8">
        <v>10</v>
      </c>
      <c r="D51" s="46" t="s">
        <v>32</v>
      </c>
      <c r="E51" s="9" t="s">
        <v>18</v>
      </c>
      <c r="F51" s="9" t="s">
        <v>35</v>
      </c>
      <c r="G51" s="10">
        <v>289.60000000000002</v>
      </c>
      <c r="H51" s="10">
        <v>216.9</v>
      </c>
      <c r="I51" s="10">
        <v>243.7</v>
      </c>
      <c r="J51" s="10">
        <f>AVERAGE(Table5[[#This Row],[23 Pts]:[25 Proj]])</f>
        <v>250.06666666666669</v>
      </c>
      <c r="K51" s="32">
        <f>Table5[[#This Row],[Avg]]/17</f>
        <v>14.709803921568628</v>
      </c>
      <c r="L51" s="9" t="s">
        <v>146</v>
      </c>
      <c r="M51">
        <v>6</v>
      </c>
      <c r="N51">
        <v>1</v>
      </c>
    </row>
    <row r="52" spans="2:14" x14ac:dyDescent="0.35">
      <c r="B52" s="8">
        <v>72</v>
      </c>
      <c r="C52" s="8">
        <v>24</v>
      </c>
      <c r="D52" s="46" t="s">
        <v>346</v>
      </c>
      <c r="E52" s="9" t="s">
        <v>85</v>
      </c>
      <c r="F52" s="9" t="s">
        <v>35</v>
      </c>
      <c r="G52" s="10">
        <v>149.80000000000001</v>
      </c>
      <c r="H52" s="10">
        <v>253</v>
      </c>
      <c r="I52" s="10">
        <v>217.1</v>
      </c>
      <c r="J52" s="10">
        <f>AVERAGE(Table5[[#This Row],[23 Pts]:[25 Proj]])</f>
        <v>206.63333333333333</v>
      </c>
      <c r="K52" s="32">
        <f>Table5[[#This Row],[Avg]]/17</f>
        <v>12.154901960784313</v>
      </c>
      <c r="L52" s="9" t="s">
        <v>146</v>
      </c>
      <c r="M52">
        <v>19</v>
      </c>
      <c r="N52">
        <v>2</v>
      </c>
    </row>
    <row r="53" spans="2:14" x14ac:dyDescent="0.35">
      <c r="B53" s="8">
        <v>94</v>
      </c>
      <c r="C53" s="8">
        <v>24</v>
      </c>
      <c r="D53" s="47" t="s">
        <v>90</v>
      </c>
      <c r="E53" s="4" t="s">
        <v>85</v>
      </c>
      <c r="F53" s="9" t="s">
        <v>24</v>
      </c>
      <c r="G53" s="10">
        <v>199.4</v>
      </c>
      <c r="H53" s="11">
        <v>181.2</v>
      </c>
      <c r="I53" s="10">
        <v>180.2</v>
      </c>
      <c r="J53" s="10">
        <f>AVERAGE(Table5[[#This Row],[23 Pts]:[25 Proj]])</f>
        <v>186.93333333333331</v>
      </c>
      <c r="K53" s="32">
        <f>Table5[[#This Row],[Avg]]/17</f>
        <v>10.996078431372547</v>
      </c>
      <c r="L53" s="9" t="s">
        <v>146</v>
      </c>
      <c r="M53">
        <v>30</v>
      </c>
      <c r="N53">
        <v>3</v>
      </c>
    </row>
    <row r="54" spans="2:14" x14ac:dyDescent="0.35">
      <c r="B54" s="8">
        <v>90</v>
      </c>
      <c r="C54" s="8">
        <v>35</v>
      </c>
      <c r="D54" s="47" t="s">
        <v>352</v>
      </c>
      <c r="E54" s="4" t="s">
        <v>14</v>
      </c>
      <c r="F54" s="9" t="s">
        <v>35</v>
      </c>
      <c r="G54" s="10">
        <v>208.8</v>
      </c>
      <c r="H54" s="11">
        <v>164.4</v>
      </c>
      <c r="I54" s="10">
        <v>202.4</v>
      </c>
      <c r="J54" s="10">
        <f>AVERAGE(Table5[[#This Row],[23 Pts]:[25 Proj]])</f>
        <v>191.86666666666667</v>
      </c>
      <c r="K54" s="32">
        <f>Table5[[#This Row],[Avg]]/17</f>
        <v>11.286274509803922</v>
      </c>
      <c r="L54" s="9" t="s">
        <v>146</v>
      </c>
      <c r="M54">
        <v>43</v>
      </c>
      <c r="N54">
        <v>4</v>
      </c>
    </row>
    <row r="55" spans="2:14" x14ac:dyDescent="0.35">
      <c r="B55" s="8">
        <v>13</v>
      </c>
      <c r="C55" s="8">
        <v>9</v>
      </c>
      <c r="D55" s="47" t="s">
        <v>53</v>
      </c>
      <c r="E55" s="4" t="s">
        <v>12</v>
      </c>
      <c r="F55" s="9" t="s">
        <v>10</v>
      </c>
      <c r="G55" s="10">
        <v>306.60000000000002</v>
      </c>
      <c r="H55" s="11">
        <v>278.86</v>
      </c>
      <c r="I55" s="10">
        <v>303.23</v>
      </c>
      <c r="J55" s="10">
        <f>AVERAGE(Table5[[#This Row],[23 Pts]:[25 Proj]])</f>
        <v>296.23</v>
      </c>
      <c r="K55" s="32">
        <f>Table5[[#This Row],[Avg]]/17</f>
        <v>17.425294117647059</v>
      </c>
      <c r="L55" s="9" t="s">
        <v>146</v>
      </c>
      <c r="M55">
        <v>54</v>
      </c>
      <c r="N55">
        <v>5</v>
      </c>
    </row>
    <row r="56" spans="2:14" x14ac:dyDescent="0.35">
      <c r="B56" s="8">
        <v>69</v>
      </c>
      <c r="C56" s="8">
        <v>22</v>
      </c>
      <c r="D56" s="47" t="s">
        <v>362</v>
      </c>
      <c r="E56" s="4" t="s">
        <v>65</v>
      </c>
      <c r="F56" s="9" t="s">
        <v>35</v>
      </c>
      <c r="G56" s="10">
        <v>218.58</v>
      </c>
      <c r="H56" s="11">
        <v>218</v>
      </c>
      <c r="I56" s="10">
        <v>189.66</v>
      </c>
      <c r="J56" s="10">
        <f>AVERAGE(Table5[[#This Row],[23 Pts]:[25 Proj]])</f>
        <v>208.74666666666667</v>
      </c>
      <c r="K56" s="32">
        <f>Table5[[#This Row],[Avg]]/17</f>
        <v>12.27921568627451</v>
      </c>
      <c r="L56" s="9" t="s">
        <v>146</v>
      </c>
      <c r="M56">
        <v>67</v>
      </c>
      <c r="N56">
        <v>6</v>
      </c>
    </row>
    <row r="57" spans="2:14" x14ac:dyDescent="0.35">
      <c r="B57" s="8">
        <v>211</v>
      </c>
      <c r="C57" s="8">
        <v>22</v>
      </c>
      <c r="D57" s="47" t="s">
        <v>239</v>
      </c>
      <c r="E57" s="4" t="s">
        <v>59</v>
      </c>
      <c r="F57" s="9" t="s">
        <v>424</v>
      </c>
      <c r="G57" s="10">
        <v>51.7</v>
      </c>
      <c r="H57" s="11">
        <v>177.4</v>
      </c>
      <c r="I57" s="10">
        <v>123.9</v>
      </c>
      <c r="J57" s="10">
        <f>AVERAGE(Table5[[#This Row],[23 Pts]:[25 Proj]])</f>
        <v>117.66666666666667</v>
      </c>
      <c r="K57" s="32">
        <f>Table5[[#This Row],[Avg]]/17</f>
        <v>6.9215686274509807</v>
      </c>
      <c r="L57" s="9" t="s">
        <v>146</v>
      </c>
      <c r="M57">
        <v>78</v>
      </c>
      <c r="N57">
        <v>7</v>
      </c>
    </row>
    <row r="58" spans="2:14" x14ac:dyDescent="0.35">
      <c r="B58" s="8">
        <v>86</v>
      </c>
      <c r="C58" s="8">
        <v>32</v>
      </c>
      <c r="D58" s="47" t="s">
        <v>376</v>
      </c>
      <c r="E58" s="4" t="s">
        <v>73</v>
      </c>
      <c r="F58" s="9" t="s">
        <v>35</v>
      </c>
      <c r="G58" s="10">
        <v>250.2</v>
      </c>
      <c r="H58" s="11">
        <v>165.8</v>
      </c>
      <c r="I58" s="10">
        <v>165</v>
      </c>
      <c r="J58" s="10">
        <f>AVERAGE(Table5[[#This Row],[23 Pts]:[25 Proj]])</f>
        <v>193.66666666666666</v>
      </c>
      <c r="K58" s="32">
        <f>Table5[[#This Row],[Avg]]/17</f>
        <v>11.392156862745097</v>
      </c>
      <c r="L58" s="9" t="s">
        <v>146</v>
      </c>
      <c r="M58">
        <v>91</v>
      </c>
      <c r="N58">
        <v>8</v>
      </c>
    </row>
    <row r="59" spans="2:14" x14ac:dyDescent="0.35">
      <c r="B59" s="8">
        <v>110</v>
      </c>
      <c r="C59" s="8">
        <v>31</v>
      </c>
      <c r="D59" s="47" t="s">
        <v>184</v>
      </c>
      <c r="E59" s="4" t="s">
        <v>12</v>
      </c>
      <c r="F59" s="9" t="s">
        <v>24</v>
      </c>
      <c r="G59" s="10">
        <v>198.1</v>
      </c>
      <c r="H59" s="11">
        <v>159.80000000000001</v>
      </c>
      <c r="I59" s="10">
        <v>149.4</v>
      </c>
      <c r="J59" s="10">
        <f>AVERAGE(Table5[[#This Row],[23 Pts]:[25 Proj]])</f>
        <v>169.1</v>
      </c>
      <c r="K59" s="32">
        <f>Table5[[#This Row],[Avg]]/17</f>
        <v>9.947058823529412</v>
      </c>
      <c r="L59" s="9" t="s">
        <v>146</v>
      </c>
      <c r="M59">
        <v>102</v>
      </c>
      <c r="N59">
        <v>9</v>
      </c>
    </row>
    <row r="60" spans="2:14" x14ac:dyDescent="0.35">
      <c r="B60" s="8">
        <v>149</v>
      </c>
      <c r="C60" s="8">
        <v>58</v>
      </c>
      <c r="D60" s="47" t="s">
        <v>377</v>
      </c>
      <c r="E60" s="4" t="s">
        <v>31</v>
      </c>
      <c r="F60" s="9" t="s">
        <v>35</v>
      </c>
      <c r="G60" s="10">
        <v>78.900000000000006</v>
      </c>
      <c r="H60" s="11">
        <v>193.2</v>
      </c>
      <c r="I60" s="10">
        <v>162.80000000000001</v>
      </c>
      <c r="J60" s="10">
        <f>AVERAGE(Table5[[#This Row],[23 Pts]:[25 Proj]])</f>
        <v>144.96666666666667</v>
      </c>
      <c r="K60" s="32">
        <f>Table5[[#This Row],[Avg]]/17</f>
        <v>8.5274509803921568</v>
      </c>
      <c r="L60" s="9" t="s">
        <v>146</v>
      </c>
      <c r="M60">
        <v>115</v>
      </c>
      <c r="N60">
        <v>10</v>
      </c>
    </row>
    <row r="61" spans="2:14" x14ac:dyDescent="0.35">
      <c r="B61" s="8">
        <v>37</v>
      </c>
      <c r="C61" s="8">
        <v>21</v>
      </c>
      <c r="D61" s="47" t="s">
        <v>160</v>
      </c>
      <c r="E61" s="4" t="s">
        <v>81</v>
      </c>
      <c r="F61" s="9" t="s">
        <v>10</v>
      </c>
      <c r="G61" s="10" t="s">
        <v>60</v>
      </c>
      <c r="H61" s="11" t="s">
        <v>60</v>
      </c>
      <c r="I61" s="10">
        <v>250.59</v>
      </c>
      <c r="J61" s="10">
        <f>AVERAGE(Table5[[#This Row],[23 Pts]:[25 Proj]])</f>
        <v>250.59</v>
      </c>
      <c r="K61" s="32">
        <f>Table5[[#This Row],[Avg]]/17</f>
        <v>14.740588235294117</v>
      </c>
      <c r="L61" s="9" t="s">
        <v>146</v>
      </c>
      <c r="M61">
        <v>126</v>
      </c>
      <c r="N61">
        <v>11</v>
      </c>
    </row>
    <row r="62" spans="2:14" x14ac:dyDescent="0.35">
      <c r="B62" s="8">
        <v>259</v>
      </c>
      <c r="C62" s="8">
        <v>85</v>
      </c>
      <c r="D62" s="47" t="s">
        <v>388</v>
      </c>
      <c r="E62" s="4" t="s">
        <v>22</v>
      </c>
      <c r="F62" s="9" t="s">
        <v>35</v>
      </c>
      <c r="G62" s="10">
        <v>134.69999999999999</v>
      </c>
      <c r="H62" s="11">
        <v>18.100000000000001</v>
      </c>
      <c r="I62" s="10">
        <v>138.6</v>
      </c>
      <c r="J62" s="10">
        <f>AVERAGE(Table5[[#This Row],[23 Pts]:[25 Proj]])</f>
        <v>97.133333333333326</v>
      </c>
      <c r="K62" s="32">
        <f>Table5[[#This Row],[Avg]]/17</f>
        <v>5.7137254901960777</v>
      </c>
      <c r="L62" s="9" t="s">
        <v>146</v>
      </c>
      <c r="M62">
        <v>139</v>
      </c>
      <c r="N62">
        <v>12</v>
      </c>
    </row>
    <row r="63" spans="2:14" x14ac:dyDescent="0.35">
      <c r="B63" s="8">
        <v>157</v>
      </c>
      <c r="C63" s="8">
        <v>4</v>
      </c>
      <c r="D63" s="47" t="s">
        <v>278</v>
      </c>
      <c r="E63" s="4" t="s">
        <v>9</v>
      </c>
      <c r="F63" s="9" t="s">
        <v>1</v>
      </c>
      <c r="G63" s="10">
        <v>159</v>
      </c>
      <c r="H63" s="11">
        <v>130</v>
      </c>
      <c r="I63" s="10">
        <v>133</v>
      </c>
      <c r="J63" s="10">
        <f>AVERAGE(Table5[[#This Row],[23 Pts]:[25 Proj]])</f>
        <v>140.66666666666666</v>
      </c>
      <c r="K63" s="32">
        <f>Table5[[#This Row],[Avg]]/17</f>
        <v>8.2745098039215677</v>
      </c>
      <c r="L63" s="9" t="s">
        <v>146</v>
      </c>
      <c r="M63">
        <v>150</v>
      </c>
      <c r="N63">
        <v>13</v>
      </c>
    </row>
    <row r="64" spans="2:14" x14ac:dyDescent="0.35">
      <c r="B64" s="8">
        <v>226</v>
      </c>
      <c r="C64" s="8">
        <v>24</v>
      </c>
      <c r="D64" s="47" t="s">
        <v>245</v>
      </c>
      <c r="E64" s="4" t="s">
        <v>81</v>
      </c>
      <c r="F64" s="9" t="s">
        <v>424</v>
      </c>
      <c r="G64" s="10">
        <v>113.4</v>
      </c>
      <c r="H64" s="11">
        <v>113.6</v>
      </c>
      <c r="I64" s="10">
        <v>109.2</v>
      </c>
      <c r="J64" s="10">
        <f>AVERAGE(Table5[[#This Row],[23 Pts]:[25 Proj]])</f>
        <v>112.06666666666666</v>
      </c>
      <c r="K64" s="32">
        <f>Table5[[#This Row],[Avg]]/17</f>
        <v>6.5921568627450977</v>
      </c>
      <c r="L64" s="9" t="s">
        <v>146</v>
      </c>
      <c r="M64">
        <v>163</v>
      </c>
      <c r="N64">
        <v>14</v>
      </c>
    </row>
    <row r="65" spans="2:14" x14ac:dyDescent="0.35">
      <c r="B65" s="8">
        <v>160</v>
      </c>
      <c r="C65" s="8">
        <v>13</v>
      </c>
      <c r="D65" s="47" t="s">
        <v>316</v>
      </c>
      <c r="E65" s="4" t="s">
        <v>23</v>
      </c>
      <c r="F65" s="9" t="s">
        <v>117</v>
      </c>
      <c r="G65" s="10" t="s">
        <v>60</v>
      </c>
      <c r="H65" s="11" t="s">
        <v>60</v>
      </c>
      <c r="I65" s="10">
        <v>140</v>
      </c>
      <c r="J65" s="10">
        <f>AVERAGE(Table5[[#This Row],[23 Pts]:[25 Proj]])</f>
        <v>140</v>
      </c>
      <c r="K65" s="32">
        <f>Table5[[#This Row],[Avg]]/17</f>
        <v>8.235294117647058</v>
      </c>
      <c r="L65" s="9" t="s">
        <v>146</v>
      </c>
      <c r="M65">
        <v>174</v>
      </c>
      <c r="N65">
        <v>15</v>
      </c>
    </row>
    <row r="66" spans="2:14" x14ac:dyDescent="0.35">
      <c r="B66" s="8">
        <v>15</v>
      </c>
      <c r="C66" s="8">
        <v>3</v>
      </c>
      <c r="D66" s="39" t="s">
        <v>61</v>
      </c>
      <c r="E66" s="4" t="s">
        <v>18</v>
      </c>
      <c r="F66" s="9" t="s">
        <v>24</v>
      </c>
      <c r="G66" s="10">
        <v>223.2</v>
      </c>
      <c r="H66" s="11">
        <v>355.3</v>
      </c>
      <c r="I66" s="10">
        <v>296.2</v>
      </c>
      <c r="J66" s="10">
        <f>AVERAGE(Table5[[#This Row],[23 Pts]:[25 Proj]])</f>
        <v>291.56666666666666</v>
      </c>
      <c r="K66" s="32">
        <f>Table5[[#This Row],[Avg]]/17</f>
        <v>17.150980392156864</v>
      </c>
      <c r="L66" s="9" t="s">
        <v>146</v>
      </c>
      <c r="M66">
        <v>187</v>
      </c>
      <c r="N66">
        <v>16</v>
      </c>
    </row>
    <row r="67" spans="2:14" x14ac:dyDescent="0.35">
      <c r="B67" s="8">
        <v>88</v>
      </c>
      <c r="C67" s="8">
        <v>33</v>
      </c>
      <c r="D67" s="47" t="s">
        <v>344</v>
      </c>
      <c r="E67" s="4" t="s">
        <v>44</v>
      </c>
      <c r="F67" s="9" t="s">
        <v>35</v>
      </c>
      <c r="G67" s="10">
        <v>137.6</v>
      </c>
      <c r="H67" s="11">
        <v>222.1</v>
      </c>
      <c r="I67" s="10">
        <v>219.7</v>
      </c>
      <c r="J67" s="10">
        <f>AVERAGE(Table5[[#This Row],[23 Pts]:[25 Proj]])</f>
        <v>193.13333333333333</v>
      </c>
      <c r="K67" s="32">
        <f>Table5[[#This Row],[Avg]]/17</f>
        <v>11.360784313725489</v>
      </c>
      <c r="L67" s="9" t="s">
        <v>149</v>
      </c>
      <c r="M67">
        <v>11</v>
      </c>
      <c r="N67">
        <v>1</v>
      </c>
    </row>
    <row r="68" spans="2:14" x14ac:dyDescent="0.35">
      <c r="B68" s="8">
        <v>62</v>
      </c>
      <c r="C68" s="8">
        <v>18</v>
      </c>
      <c r="D68" s="47" t="s">
        <v>342</v>
      </c>
      <c r="E68" s="4" t="s">
        <v>46</v>
      </c>
      <c r="F68" s="9" t="s">
        <v>35</v>
      </c>
      <c r="G68" s="10" t="s">
        <v>60</v>
      </c>
      <c r="H68" s="11">
        <v>196.5</v>
      </c>
      <c r="I68" s="10">
        <v>234.8</v>
      </c>
      <c r="J68" s="10">
        <f>AVERAGE(Table5[[#This Row],[23 Pts]:[25 Proj]])</f>
        <v>215.65</v>
      </c>
      <c r="K68" s="32">
        <f>Table5[[#This Row],[Avg]]/17</f>
        <v>12.685294117647059</v>
      </c>
      <c r="L68" s="9" t="s">
        <v>149</v>
      </c>
      <c r="M68">
        <v>14</v>
      </c>
      <c r="N68">
        <v>2</v>
      </c>
    </row>
    <row r="69" spans="2:14" x14ac:dyDescent="0.35">
      <c r="B69" s="8">
        <v>78</v>
      </c>
      <c r="C69" s="8">
        <v>20</v>
      </c>
      <c r="D69" s="47" t="s">
        <v>80</v>
      </c>
      <c r="E69" s="4" t="s">
        <v>81</v>
      </c>
      <c r="F69" s="9" t="s">
        <v>24</v>
      </c>
      <c r="G69" s="10">
        <v>222.6</v>
      </c>
      <c r="H69" s="11">
        <v>200.7</v>
      </c>
      <c r="I69" s="10">
        <v>179.3</v>
      </c>
      <c r="J69" s="10">
        <f>AVERAGE(Table5[[#This Row],[23 Pts]:[25 Proj]])</f>
        <v>200.86666666666665</v>
      </c>
      <c r="K69" s="32">
        <f>Table5[[#This Row],[Avg]]/17</f>
        <v>11.815686274509803</v>
      </c>
      <c r="L69" s="9" t="s">
        <v>149</v>
      </c>
      <c r="M69">
        <v>35</v>
      </c>
      <c r="N69">
        <v>3</v>
      </c>
    </row>
    <row r="70" spans="2:14" x14ac:dyDescent="0.35">
      <c r="B70" s="8">
        <v>118</v>
      </c>
      <c r="C70" s="8">
        <v>7</v>
      </c>
      <c r="D70" s="47" t="s">
        <v>227</v>
      </c>
      <c r="E70" s="4" t="s">
        <v>23</v>
      </c>
      <c r="F70" s="9" t="s">
        <v>424</v>
      </c>
      <c r="G70" s="10">
        <v>135.4</v>
      </c>
      <c r="H70" s="11">
        <v>188.8</v>
      </c>
      <c r="I70" s="10">
        <v>165.5</v>
      </c>
      <c r="J70" s="10">
        <f>AVERAGE(Table5[[#This Row],[23 Pts]:[25 Proj]])</f>
        <v>163.23333333333335</v>
      </c>
      <c r="K70" s="32">
        <f>Table5[[#This Row],[Avg]]/17</f>
        <v>9.6019607843137269</v>
      </c>
      <c r="L70" s="9" t="s">
        <v>149</v>
      </c>
      <c r="M70">
        <v>38</v>
      </c>
      <c r="N70">
        <v>4</v>
      </c>
    </row>
    <row r="71" spans="2:14" x14ac:dyDescent="0.35">
      <c r="B71" s="8">
        <v>6</v>
      </c>
      <c r="C71" s="8">
        <v>5</v>
      </c>
      <c r="D71" s="47" t="s">
        <v>70</v>
      </c>
      <c r="E71" s="4" t="s">
        <v>42</v>
      </c>
      <c r="F71" s="9" t="s">
        <v>10</v>
      </c>
      <c r="G71" s="10">
        <v>284.06</v>
      </c>
      <c r="H71" s="11">
        <v>381.8</v>
      </c>
      <c r="I71" s="10">
        <v>307.99</v>
      </c>
      <c r="J71" s="10">
        <f>AVERAGE(Table5[[#This Row],[23 Pts]:[25 Proj]])</f>
        <v>324.61666666666667</v>
      </c>
      <c r="K71" s="32">
        <f>Table5[[#This Row],[Avg]]/17</f>
        <v>19.095098039215685</v>
      </c>
      <c r="L71" s="9" t="s">
        <v>149</v>
      </c>
      <c r="M71">
        <v>59</v>
      </c>
      <c r="N71">
        <v>5</v>
      </c>
    </row>
    <row r="72" spans="2:14" x14ac:dyDescent="0.35">
      <c r="B72" s="8">
        <v>96</v>
      </c>
      <c r="C72" s="8">
        <v>26</v>
      </c>
      <c r="D72" s="47" t="s">
        <v>182</v>
      </c>
      <c r="E72" s="4" t="s">
        <v>51</v>
      </c>
      <c r="F72" s="9" t="s">
        <v>24</v>
      </c>
      <c r="G72" s="10">
        <v>134.9</v>
      </c>
      <c r="H72" s="11">
        <v>241.6</v>
      </c>
      <c r="I72" s="10">
        <v>176.8</v>
      </c>
      <c r="J72" s="10">
        <f>AVERAGE(Table5[[#This Row],[23 Pts]:[25 Proj]])</f>
        <v>184.43333333333331</v>
      </c>
      <c r="K72" s="32">
        <f>Table5[[#This Row],[Avg]]/17</f>
        <v>10.849019607843136</v>
      </c>
      <c r="L72" s="9" t="s">
        <v>149</v>
      </c>
      <c r="M72">
        <v>62</v>
      </c>
      <c r="N72">
        <v>6</v>
      </c>
    </row>
    <row r="73" spans="2:14" x14ac:dyDescent="0.35">
      <c r="B73" s="8">
        <v>89</v>
      </c>
      <c r="C73" s="8">
        <v>34</v>
      </c>
      <c r="D73" s="47" t="s">
        <v>358</v>
      </c>
      <c r="E73" s="4" t="s">
        <v>34</v>
      </c>
      <c r="F73" s="9" t="s">
        <v>35</v>
      </c>
      <c r="G73" s="10">
        <v>141.80000000000001</v>
      </c>
      <c r="H73" s="11">
        <v>240.9</v>
      </c>
      <c r="I73" s="10">
        <v>195</v>
      </c>
      <c r="J73" s="10">
        <f>AVERAGE(Table5[[#This Row],[23 Pts]:[25 Proj]])</f>
        <v>192.56666666666669</v>
      </c>
      <c r="K73" s="32">
        <f>Table5[[#This Row],[Avg]]/17</f>
        <v>11.327450980392157</v>
      </c>
      <c r="L73" s="9" t="s">
        <v>149</v>
      </c>
      <c r="M73">
        <v>83</v>
      </c>
      <c r="N73">
        <v>7</v>
      </c>
    </row>
    <row r="74" spans="2:14" x14ac:dyDescent="0.35">
      <c r="B74" s="8">
        <v>74</v>
      </c>
      <c r="C74" s="8">
        <v>25</v>
      </c>
      <c r="D74" s="47" t="s">
        <v>366</v>
      </c>
      <c r="E74" s="4" t="s">
        <v>51</v>
      </c>
      <c r="F74" s="9" t="s">
        <v>35</v>
      </c>
      <c r="G74" s="10">
        <v>221.3</v>
      </c>
      <c r="H74" s="11">
        <v>212.5</v>
      </c>
      <c r="I74" s="10">
        <v>177.7</v>
      </c>
      <c r="J74" s="10">
        <f>AVERAGE(Table5[[#This Row],[23 Pts]:[25 Proj]])</f>
        <v>203.83333333333334</v>
      </c>
      <c r="K74" s="32">
        <f>Table5[[#This Row],[Avg]]/17</f>
        <v>11.990196078431373</v>
      </c>
      <c r="L74" s="9" t="s">
        <v>149</v>
      </c>
      <c r="M74">
        <v>86</v>
      </c>
      <c r="N74">
        <v>8</v>
      </c>
    </row>
    <row r="75" spans="2:14" x14ac:dyDescent="0.35">
      <c r="B75" s="8">
        <v>141</v>
      </c>
      <c r="C75" s="8">
        <v>1</v>
      </c>
      <c r="D75" s="47" t="s">
        <v>274</v>
      </c>
      <c r="E75" s="4" t="s">
        <v>94</v>
      </c>
      <c r="F75" s="9" t="s">
        <v>1</v>
      </c>
      <c r="G75" s="10">
        <v>118</v>
      </c>
      <c r="H75" s="11">
        <v>141</v>
      </c>
      <c r="I75" s="10">
        <v>181</v>
      </c>
      <c r="J75" s="10">
        <f>AVERAGE(Table5[[#This Row],[23 Pts]:[25 Proj]])</f>
        <v>146.66666666666666</v>
      </c>
      <c r="K75" s="32">
        <f>Table5[[#This Row],[Avg]]/17</f>
        <v>8.6274509803921564</v>
      </c>
      <c r="L75" s="9" t="s">
        <v>149</v>
      </c>
      <c r="M75">
        <v>107</v>
      </c>
      <c r="N75">
        <v>9</v>
      </c>
    </row>
    <row r="76" spans="2:14" x14ac:dyDescent="0.35">
      <c r="B76" s="8">
        <v>93</v>
      </c>
      <c r="C76" s="8">
        <v>37</v>
      </c>
      <c r="D76" s="47" t="s">
        <v>403</v>
      </c>
      <c r="E76" s="4" t="s">
        <v>79</v>
      </c>
      <c r="F76" s="9" t="s">
        <v>35</v>
      </c>
      <c r="G76" s="10">
        <v>278.86</v>
      </c>
      <c r="H76" s="11">
        <v>185.4</v>
      </c>
      <c r="I76" s="10">
        <v>101.9</v>
      </c>
      <c r="J76" s="10">
        <f>AVERAGE(Table5[[#This Row],[23 Pts]:[25 Proj]])</f>
        <v>188.72</v>
      </c>
      <c r="K76" s="32">
        <f>Table5[[#This Row],[Avg]]/17</f>
        <v>11.101176470588236</v>
      </c>
      <c r="L76" s="9" t="s">
        <v>149</v>
      </c>
      <c r="M76">
        <v>110</v>
      </c>
      <c r="N76">
        <v>10</v>
      </c>
    </row>
    <row r="77" spans="2:14" x14ac:dyDescent="0.35">
      <c r="B77" s="8">
        <v>136</v>
      </c>
      <c r="C77" s="8">
        <v>6</v>
      </c>
      <c r="D77" s="47" t="s">
        <v>251</v>
      </c>
      <c r="E77" s="4" t="s">
        <v>21</v>
      </c>
      <c r="F77" s="9" t="s">
        <v>117</v>
      </c>
      <c r="G77" s="10">
        <v>146</v>
      </c>
      <c r="H77" s="11">
        <v>166</v>
      </c>
      <c r="I77" s="10">
        <v>133</v>
      </c>
      <c r="J77" s="10">
        <f>AVERAGE(Table5[[#This Row],[23 Pts]:[25 Proj]])</f>
        <v>148.33333333333334</v>
      </c>
      <c r="K77" s="32">
        <f>Table5[[#This Row],[Avg]]/17</f>
        <v>8.7254901960784323</v>
      </c>
      <c r="L77" s="9" t="s">
        <v>149</v>
      </c>
      <c r="M77">
        <v>131</v>
      </c>
      <c r="N77">
        <v>11</v>
      </c>
    </row>
    <row r="78" spans="2:14" x14ac:dyDescent="0.35">
      <c r="B78" s="8">
        <v>29</v>
      </c>
      <c r="C78" s="8">
        <v>17</v>
      </c>
      <c r="D78" s="47" t="s">
        <v>116</v>
      </c>
      <c r="E78" s="4" t="s">
        <v>52</v>
      </c>
      <c r="F78" s="9" t="s">
        <v>10</v>
      </c>
      <c r="G78" s="10" t="s">
        <v>60</v>
      </c>
      <c r="H78" s="11">
        <v>267.58</v>
      </c>
      <c r="I78" s="10">
        <v>246.68</v>
      </c>
      <c r="J78" s="10">
        <f>AVERAGE(Table5[[#This Row],[23 Pts]:[25 Proj]])</f>
        <v>257.13</v>
      </c>
      <c r="K78" s="32">
        <f>Table5[[#This Row],[Avg]]/17</f>
        <v>15.125294117647059</v>
      </c>
      <c r="L78" s="9" t="s">
        <v>149</v>
      </c>
      <c r="M78">
        <v>134</v>
      </c>
      <c r="N78">
        <v>12</v>
      </c>
    </row>
    <row r="79" spans="2:14" x14ac:dyDescent="0.35">
      <c r="B79" s="8">
        <v>97</v>
      </c>
      <c r="C79" s="8">
        <v>27</v>
      </c>
      <c r="D79" s="47" t="s">
        <v>97</v>
      </c>
      <c r="E79" s="4" t="s">
        <v>79</v>
      </c>
      <c r="F79" s="9" t="s">
        <v>24</v>
      </c>
      <c r="G79" s="10">
        <v>195.5</v>
      </c>
      <c r="H79" s="11">
        <v>204.6</v>
      </c>
      <c r="I79" s="10">
        <v>147.1</v>
      </c>
      <c r="J79" s="10">
        <f>AVERAGE(Table5[[#This Row],[23 Pts]:[25 Proj]])</f>
        <v>182.4</v>
      </c>
      <c r="K79" s="32">
        <f>Table5[[#This Row],[Avg]]/17</f>
        <v>10.729411764705883</v>
      </c>
      <c r="L79" s="9" t="s">
        <v>149</v>
      </c>
      <c r="M79">
        <v>155</v>
      </c>
      <c r="N79">
        <v>13</v>
      </c>
    </row>
    <row r="80" spans="2:14" x14ac:dyDescent="0.35">
      <c r="B80" s="8">
        <v>49</v>
      </c>
      <c r="C80" s="8">
        <v>23</v>
      </c>
      <c r="D80" s="47" t="s">
        <v>74</v>
      </c>
      <c r="E80" s="4" t="s">
        <v>38</v>
      </c>
      <c r="F80" s="9" t="s">
        <v>10</v>
      </c>
      <c r="G80" s="10">
        <v>254.1</v>
      </c>
      <c r="H80" s="11">
        <v>222.58</v>
      </c>
      <c r="I80" s="10">
        <v>245.66</v>
      </c>
      <c r="J80" s="10">
        <f>AVERAGE(Table5[[#This Row],[23 Pts]:[25 Proj]])</f>
        <v>240.78</v>
      </c>
      <c r="K80" s="32">
        <f>Table5[[#This Row],[Avg]]/17</f>
        <v>14.163529411764706</v>
      </c>
      <c r="L80" s="9" t="s">
        <v>149</v>
      </c>
      <c r="M80">
        <v>158</v>
      </c>
      <c r="N80">
        <v>14</v>
      </c>
    </row>
    <row r="81" spans="2:14" x14ac:dyDescent="0.35">
      <c r="B81" s="8">
        <v>356</v>
      </c>
      <c r="C81" s="8">
        <v>44</v>
      </c>
      <c r="D81" s="47" t="s">
        <v>163</v>
      </c>
      <c r="E81" s="4" t="s">
        <v>34</v>
      </c>
      <c r="F81" s="9" t="s">
        <v>10</v>
      </c>
      <c r="G81" s="10" t="s">
        <v>60</v>
      </c>
      <c r="H81" s="11" t="s">
        <v>60</v>
      </c>
      <c r="I81" s="10">
        <v>32.61</v>
      </c>
      <c r="J81" s="10">
        <f>AVERAGE(Table5[[#This Row],[23 Pts]:[25 Proj]])</f>
        <v>32.61</v>
      </c>
      <c r="K81" s="32">
        <f>Table5[[#This Row],[Avg]]/17</f>
        <v>1.918235294117647</v>
      </c>
      <c r="L81" s="9" t="s">
        <v>149</v>
      </c>
      <c r="M81">
        <v>179</v>
      </c>
      <c r="N81">
        <v>15</v>
      </c>
    </row>
    <row r="82" spans="2:14" x14ac:dyDescent="0.35">
      <c r="B82" s="8">
        <v>50</v>
      </c>
      <c r="C82" s="8">
        <v>12</v>
      </c>
      <c r="D82" s="39" t="s">
        <v>92</v>
      </c>
      <c r="E82" s="4" t="s">
        <v>40</v>
      </c>
      <c r="F82" s="9" t="s">
        <v>24</v>
      </c>
      <c r="G82" s="10">
        <v>181.1</v>
      </c>
      <c r="H82" s="11">
        <v>283.10000000000002</v>
      </c>
      <c r="I82" s="10">
        <v>254.5</v>
      </c>
      <c r="J82" s="10">
        <f>AVERAGE(Table5[[#This Row],[23 Pts]:[25 Proj]])</f>
        <v>239.56666666666669</v>
      </c>
      <c r="K82" s="32">
        <f>Table5[[#This Row],[Avg]]/17</f>
        <v>14.092156862745099</v>
      </c>
      <c r="L82" s="9" t="s">
        <v>149</v>
      </c>
      <c r="M82">
        <v>182</v>
      </c>
      <c r="N82">
        <v>16</v>
      </c>
    </row>
    <row r="83" spans="2:14" x14ac:dyDescent="0.35">
      <c r="B83" s="8">
        <v>54</v>
      </c>
      <c r="C83" s="8">
        <v>14</v>
      </c>
      <c r="D83" s="47" t="s">
        <v>11</v>
      </c>
      <c r="E83" s="4" t="s">
        <v>12</v>
      </c>
      <c r="F83" s="9" t="s">
        <v>24</v>
      </c>
      <c r="G83" s="10">
        <v>391.3</v>
      </c>
      <c r="H83" s="11">
        <v>47.8</v>
      </c>
      <c r="I83" s="10">
        <v>270</v>
      </c>
      <c r="J83" s="10">
        <f>AVERAGE(Table5[[#This Row],[23 Pts]:[25 Proj]])</f>
        <v>236.36666666666667</v>
      </c>
      <c r="K83" s="32">
        <f>Table5[[#This Row],[Avg]]/17</f>
        <v>13.903921568627451</v>
      </c>
      <c r="L83" s="9" t="s">
        <v>427</v>
      </c>
      <c r="M83">
        <v>5</v>
      </c>
      <c r="N83">
        <v>1</v>
      </c>
    </row>
    <row r="84" spans="2:14" x14ac:dyDescent="0.35">
      <c r="B84" s="8">
        <v>52</v>
      </c>
      <c r="C84" s="8">
        <v>13</v>
      </c>
      <c r="D84" s="47" t="s">
        <v>71</v>
      </c>
      <c r="E84" s="4" t="s">
        <v>62</v>
      </c>
      <c r="F84" s="9" t="s">
        <v>24</v>
      </c>
      <c r="G84" s="10">
        <v>233</v>
      </c>
      <c r="H84" s="11">
        <v>265.3</v>
      </c>
      <c r="I84" s="10">
        <v>215.8</v>
      </c>
      <c r="J84" s="10">
        <f>AVERAGE(Table5[[#This Row],[23 Pts]:[25 Proj]])</f>
        <v>238.03333333333333</v>
      </c>
      <c r="K84" s="32">
        <f>Table5[[#This Row],[Avg]]/17</f>
        <v>14.001960784313725</v>
      </c>
      <c r="L84" s="9" t="s">
        <v>427</v>
      </c>
      <c r="M84">
        <v>20</v>
      </c>
      <c r="N84">
        <v>2</v>
      </c>
    </row>
    <row r="85" spans="2:14" x14ac:dyDescent="0.35">
      <c r="B85" s="8">
        <v>21</v>
      </c>
      <c r="C85" s="8">
        <v>4</v>
      </c>
      <c r="D85" s="47" t="s">
        <v>266</v>
      </c>
      <c r="E85" s="4" t="s">
        <v>21</v>
      </c>
      <c r="F85" s="9" t="s">
        <v>35</v>
      </c>
      <c r="G85" s="10">
        <v>376.4</v>
      </c>
      <c r="H85" s="11">
        <v>218.2</v>
      </c>
      <c r="I85" s="10">
        <v>243.7</v>
      </c>
      <c r="J85" s="10">
        <f>AVERAGE(Table5[[#This Row],[23 Pts]:[25 Proj]])</f>
        <v>279.43333333333334</v>
      </c>
      <c r="K85" s="32">
        <f>Table5[[#This Row],[Avg]]/17</f>
        <v>16.437254901960785</v>
      </c>
      <c r="L85" s="9" t="s">
        <v>427</v>
      </c>
      <c r="M85">
        <v>29</v>
      </c>
      <c r="N85">
        <v>3</v>
      </c>
    </row>
    <row r="86" spans="2:14" x14ac:dyDescent="0.35">
      <c r="B86" s="8">
        <v>77</v>
      </c>
      <c r="C86" s="8">
        <v>27</v>
      </c>
      <c r="D86" s="47" t="s">
        <v>353</v>
      </c>
      <c r="E86" s="4" t="s">
        <v>104</v>
      </c>
      <c r="F86" s="9" t="s">
        <v>35</v>
      </c>
      <c r="G86" s="10" t="s">
        <v>60</v>
      </c>
      <c r="H86" s="11" t="s">
        <v>60</v>
      </c>
      <c r="I86" s="10">
        <v>201</v>
      </c>
      <c r="J86" s="10">
        <f>AVERAGE(Table5[[#This Row],[23 Pts]:[25 Proj]])</f>
        <v>201</v>
      </c>
      <c r="K86" s="32">
        <f>Table5[[#This Row],[Avg]]/17</f>
        <v>11.823529411764707</v>
      </c>
      <c r="L86" s="9" t="s">
        <v>427</v>
      </c>
      <c r="M86">
        <v>44</v>
      </c>
      <c r="N86">
        <v>4</v>
      </c>
    </row>
    <row r="87" spans="2:14" x14ac:dyDescent="0.35">
      <c r="B87" s="8">
        <v>80</v>
      </c>
      <c r="C87" s="8">
        <v>21</v>
      </c>
      <c r="D87" s="47" t="s">
        <v>99</v>
      </c>
      <c r="E87" s="4" t="s">
        <v>55</v>
      </c>
      <c r="F87" s="9" t="s">
        <v>24</v>
      </c>
      <c r="G87" s="10">
        <v>199.3</v>
      </c>
      <c r="H87" s="11">
        <v>214.5</v>
      </c>
      <c r="I87" s="10">
        <v>178.5</v>
      </c>
      <c r="J87" s="10">
        <f>AVERAGE(Table5[[#This Row],[23 Pts]:[25 Proj]])</f>
        <v>197.43333333333331</v>
      </c>
      <c r="K87" s="32">
        <f>Table5[[#This Row],[Avg]]/17</f>
        <v>11.613725490196076</v>
      </c>
      <c r="L87" s="9" t="s">
        <v>427</v>
      </c>
      <c r="M87">
        <v>53</v>
      </c>
      <c r="N87">
        <v>5</v>
      </c>
    </row>
    <row r="88" spans="2:14" x14ac:dyDescent="0.35">
      <c r="B88" s="8">
        <v>122</v>
      </c>
      <c r="C88" s="8">
        <v>48</v>
      </c>
      <c r="D88" s="47" t="s">
        <v>354</v>
      </c>
      <c r="E88" s="4" t="s">
        <v>22</v>
      </c>
      <c r="F88" s="9" t="s">
        <v>35</v>
      </c>
      <c r="G88" s="10">
        <v>212.5</v>
      </c>
      <c r="H88" s="11">
        <v>64.900000000000006</v>
      </c>
      <c r="I88" s="10">
        <v>200.1</v>
      </c>
      <c r="J88" s="10">
        <f>AVERAGE(Table5[[#This Row],[23 Pts]:[25 Proj]])</f>
        <v>159.16666666666666</v>
      </c>
      <c r="K88" s="32">
        <f>Table5[[#This Row],[Avg]]/17</f>
        <v>9.3627450980392144</v>
      </c>
      <c r="L88" s="9" t="s">
        <v>427</v>
      </c>
      <c r="M88">
        <v>68</v>
      </c>
      <c r="N88">
        <v>6</v>
      </c>
    </row>
    <row r="89" spans="2:14" x14ac:dyDescent="0.35">
      <c r="B89" s="8">
        <v>113</v>
      </c>
      <c r="C89" s="8">
        <v>6</v>
      </c>
      <c r="D89" s="47" t="s">
        <v>229</v>
      </c>
      <c r="E89" s="4" t="s">
        <v>34</v>
      </c>
      <c r="F89" s="9" t="s">
        <v>424</v>
      </c>
      <c r="G89" s="10">
        <v>201.2</v>
      </c>
      <c r="H89" s="11">
        <v>148.5</v>
      </c>
      <c r="I89" s="10">
        <v>152.1</v>
      </c>
      <c r="J89" s="10">
        <f>AVERAGE(Table5[[#This Row],[23 Pts]:[25 Proj]])</f>
        <v>167.26666666666665</v>
      </c>
      <c r="K89" s="32">
        <f>Table5[[#This Row],[Avg]]/17</f>
        <v>9.8392156862745086</v>
      </c>
      <c r="L89" s="9" t="s">
        <v>427</v>
      </c>
      <c r="M89">
        <v>77</v>
      </c>
      <c r="N89">
        <v>7</v>
      </c>
    </row>
    <row r="90" spans="2:14" x14ac:dyDescent="0.35">
      <c r="B90" s="8">
        <v>24</v>
      </c>
      <c r="C90" s="8">
        <v>15</v>
      </c>
      <c r="D90" s="47" t="s">
        <v>78</v>
      </c>
      <c r="E90" s="4" t="s">
        <v>79</v>
      </c>
      <c r="F90" s="9" t="s">
        <v>10</v>
      </c>
      <c r="G90" s="10">
        <v>241.16</v>
      </c>
      <c r="H90" s="11">
        <v>288.39999999999998</v>
      </c>
      <c r="I90" s="10">
        <v>281.5</v>
      </c>
      <c r="J90" s="10">
        <f>AVERAGE(Table5[[#This Row],[23 Pts]:[25 Proj]])</f>
        <v>270.3533333333333</v>
      </c>
      <c r="K90" s="32">
        <f>Table5[[#This Row],[Avg]]/17</f>
        <v>15.903137254901958</v>
      </c>
      <c r="L90" s="9" t="s">
        <v>427</v>
      </c>
      <c r="M90">
        <v>92</v>
      </c>
      <c r="N90">
        <v>8</v>
      </c>
    </row>
    <row r="91" spans="2:14" x14ac:dyDescent="0.35">
      <c r="B91" s="8">
        <v>339</v>
      </c>
      <c r="C91" s="8">
        <v>85</v>
      </c>
      <c r="D91" s="47" t="s">
        <v>194</v>
      </c>
      <c r="E91" s="4" t="s">
        <v>27</v>
      </c>
      <c r="F91" s="9" t="s">
        <v>24</v>
      </c>
      <c r="G91" s="10">
        <v>22.8</v>
      </c>
      <c r="H91" s="11" t="s">
        <v>60</v>
      </c>
      <c r="I91" s="10">
        <v>72.099999999999994</v>
      </c>
      <c r="J91" s="10">
        <f>AVERAGE(Table5[[#This Row],[23 Pts]:[25 Proj]])</f>
        <v>47.449999999999996</v>
      </c>
      <c r="K91" s="32">
        <f>Table5[[#This Row],[Avg]]/17</f>
        <v>2.7911764705882351</v>
      </c>
      <c r="L91" s="9" t="s">
        <v>427</v>
      </c>
      <c r="M91">
        <v>101</v>
      </c>
      <c r="N91">
        <v>9</v>
      </c>
    </row>
    <row r="92" spans="2:14" x14ac:dyDescent="0.35">
      <c r="B92" s="8">
        <v>140</v>
      </c>
      <c r="C92" s="8">
        <v>10</v>
      </c>
      <c r="D92" s="47" t="s">
        <v>230</v>
      </c>
      <c r="E92" s="4" t="s">
        <v>55</v>
      </c>
      <c r="F92" s="9" t="s">
        <v>424</v>
      </c>
      <c r="G92" s="10" t="s">
        <v>60</v>
      </c>
      <c r="H92" s="11" t="s">
        <v>60</v>
      </c>
      <c r="I92" s="10">
        <v>146.80000000000001</v>
      </c>
      <c r="J92" s="10">
        <f>AVERAGE(Table5[[#This Row],[23 Pts]:[25 Proj]])</f>
        <v>146.80000000000001</v>
      </c>
      <c r="K92" s="32">
        <f>Table5[[#This Row],[Avg]]/17</f>
        <v>8.6352941176470601</v>
      </c>
      <c r="L92" s="9" t="s">
        <v>427</v>
      </c>
      <c r="M92">
        <v>116</v>
      </c>
      <c r="N92">
        <v>10</v>
      </c>
    </row>
    <row r="93" spans="2:14" x14ac:dyDescent="0.35">
      <c r="B93" s="8">
        <v>199</v>
      </c>
      <c r="C93" s="8">
        <v>71</v>
      </c>
      <c r="D93" s="47" t="s">
        <v>381</v>
      </c>
      <c r="E93" s="4" t="s">
        <v>48</v>
      </c>
      <c r="F93" s="9" t="s">
        <v>35</v>
      </c>
      <c r="G93" s="10">
        <v>150.26</v>
      </c>
      <c r="H93" s="11">
        <v>70.900000000000006</v>
      </c>
      <c r="I93" s="10">
        <v>150.9</v>
      </c>
      <c r="J93" s="10">
        <f>AVERAGE(Table5[[#This Row],[23 Pts]:[25 Proj]])</f>
        <v>124.02</v>
      </c>
      <c r="K93" s="32">
        <f>Table5[[#This Row],[Avg]]/17</f>
        <v>7.2952941176470585</v>
      </c>
      <c r="L93" s="9" t="s">
        <v>427</v>
      </c>
      <c r="M93">
        <v>125</v>
      </c>
      <c r="N93">
        <v>11</v>
      </c>
    </row>
    <row r="94" spans="2:14" x14ac:dyDescent="0.35">
      <c r="B94" s="8">
        <v>336</v>
      </c>
      <c r="C94" s="8">
        <v>82</v>
      </c>
      <c r="D94" s="47" t="s">
        <v>423</v>
      </c>
      <c r="E94" s="4" t="s">
        <v>21</v>
      </c>
      <c r="F94" s="9" t="s">
        <v>24</v>
      </c>
      <c r="G94" s="10" t="s">
        <v>60</v>
      </c>
      <c r="H94" s="11" t="s">
        <v>60</v>
      </c>
      <c r="I94" s="10">
        <v>50.3</v>
      </c>
      <c r="J94" s="10">
        <f>AVERAGE(Table5[[#This Row],[23 Pts]:[25 Proj]])</f>
        <v>50.3</v>
      </c>
      <c r="K94" s="32">
        <f>Table5[[#This Row],[Avg]]/17</f>
        <v>2.9588235294117644</v>
      </c>
      <c r="L94" s="9" t="s">
        <v>427</v>
      </c>
      <c r="M94">
        <v>140</v>
      </c>
      <c r="N94">
        <v>12</v>
      </c>
    </row>
    <row r="95" spans="2:14" x14ac:dyDescent="0.35">
      <c r="B95" s="8">
        <v>125</v>
      </c>
      <c r="C95" s="8">
        <v>3</v>
      </c>
      <c r="D95" s="47" t="s">
        <v>309</v>
      </c>
      <c r="E95" s="4" t="s">
        <v>52</v>
      </c>
      <c r="F95" s="9" t="s">
        <v>117</v>
      </c>
      <c r="G95" s="10">
        <v>133</v>
      </c>
      <c r="H95" s="11">
        <v>191</v>
      </c>
      <c r="I95" s="10">
        <v>144</v>
      </c>
      <c r="J95" s="10">
        <f>AVERAGE(Table5[[#This Row],[23 Pts]:[25 Proj]])</f>
        <v>156</v>
      </c>
      <c r="K95" s="32">
        <f>Table5[[#This Row],[Avg]]/17</f>
        <v>9.1764705882352935</v>
      </c>
      <c r="L95" s="9" t="s">
        <v>427</v>
      </c>
      <c r="M95">
        <v>149</v>
      </c>
      <c r="N95">
        <v>13</v>
      </c>
    </row>
    <row r="96" spans="2:14" x14ac:dyDescent="0.35">
      <c r="B96" s="8">
        <v>252</v>
      </c>
      <c r="C96" s="8">
        <v>80</v>
      </c>
      <c r="D96" s="47" t="s">
        <v>405</v>
      </c>
      <c r="E96" s="4" t="s">
        <v>81</v>
      </c>
      <c r="F96" s="9" t="s">
        <v>35</v>
      </c>
      <c r="G96" s="10" t="s">
        <v>60</v>
      </c>
      <c r="H96" s="11" t="s">
        <v>60</v>
      </c>
      <c r="I96" s="10">
        <v>100.1</v>
      </c>
      <c r="J96" s="10">
        <f>AVERAGE(Table5[[#This Row],[23 Pts]:[25 Proj]])</f>
        <v>100.1</v>
      </c>
      <c r="K96" s="32">
        <f>Table5[[#This Row],[Avg]]/17</f>
        <v>5.8882352941176466</v>
      </c>
      <c r="L96" s="9" t="s">
        <v>427</v>
      </c>
      <c r="M96">
        <v>164</v>
      </c>
      <c r="N96">
        <v>14</v>
      </c>
    </row>
    <row r="97" spans="2:14" x14ac:dyDescent="0.35">
      <c r="B97" s="8">
        <v>200</v>
      </c>
      <c r="C97" s="8">
        <v>9</v>
      </c>
      <c r="D97" s="47" t="s">
        <v>284</v>
      </c>
      <c r="E97" s="4" t="s">
        <v>40</v>
      </c>
      <c r="F97" s="9" t="s">
        <v>1</v>
      </c>
      <c r="G97" s="10">
        <v>115</v>
      </c>
      <c r="H97" s="11">
        <v>109</v>
      </c>
      <c r="I97" s="10">
        <v>148</v>
      </c>
      <c r="J97" s="10">
        <f>AVERAGE(Table5[[#This Row],[23 Pts]:[25 Proj]])</f>
        <v>124</v>
      </c>
      <c r="K97" s="32">
        <f>Table5[[#This Row],[Avg]]/17</f>
        <v>7.2941176470588234</v>
      </c>
      <c r="L97" s="9" t="s">
        <v>427</v>
      </c>
      <c r="M97">
        <v>173</v>
      </c>
      <c r="N97">
        <v>15</v>
      </c>
    </row>
    <row r="98" spans="2:14" x14ac:dyDescent="0.35">
      <c r="B98" s="8">
        <v>56</v>
      </c>
      <c r="C98" s="8">
        <v>16</v>
      </c>
      <c r="D98" s="39" t="s">
        <v>339</v>
      </c>
      <c r="E98" s="4" t="s">
        <v>31</v>
      </c>
      <c r="F98" s="9" t="s">
        <v>35</v>
      </c>
      <c r="G98" s="10">
        <v>174.38</v>
      </c>
      <c r="H98" s="11">
        <v>280.8</v>
      </c>
      <c r="I98" s="10">
        <v>247.2</v>
      </c>
      <c r="J98" s="10">
        <f>AVERAGE(Table5[[#This Row],[23 Pts]:[25 Proj]])</f>
        <v>234.12666666666667</v>
      </c>
      <c r="K98" s="32">
        <f>Table5[[#This Row],[Avg]]/17</f>
        <v>13.772156862745097</v>
      </c>
      <c r="L98" s="9" t="s">
        <v>427</v>
      </c>
      <c r="M98">
        <v>188</v>
      </c>
      <c r="N98">
        <v>16</v>
      </c>
    </row>
    <row r="99" spans="2:14" x14ac:dyDescent="0.35">
      <c r="B99" s="8">
        <v>12</v>
      </c>
      <c r="C99" s="8">
        <v>1</v>
      </c>
      <c r="D99" s="47" t="s">
        <v>54</v>
      </c>
      <c r="E99" s="4" t="s">
        <v>16</v>
      </c>
      <c r="F99" s="9" t="s">
        <v>24</v>
      </c>
      <c r="G99" s="10">
        <v>242.1</v>
      </c>
      <c r="H99" s="11">
        <v>362.9</v>
      </c>
      <c r="I99" s="10">
        <v>296.3</v>
      </c>
      <c r="J99" s="10">
        <f>AVERAGE(Table5[[#This Row],[23 Pts]:[25 Proj]])</f>
        <v>300.43333333333334</v>
      </c>
      <c r="K99" s="32">
        <f>Table5[[#This Row],[Avg]]/17</f>
        <v>17.672549019607843</v>
      </c>
      <c r="L99" s="9" t="s">
        <v>150</v>
      </c>
      <c r="M99">
        <v>1</v>
      </c>
      <c r="N99">
        <v>1</v>
      </c>
    </row>
    <row r="100" spans="2:14" x14ac:dyDescent="0.35">
      <c r="B100" s="8">
        <v>79</v>
      </c>
      <c r="C100" s="8">
        <v>4</v>
      </c>
      <c r="D100" s="47" t="s">
        <v>15</v>
      </c>
      <c r="E100" s="4" t="s">
        <v>16</v>
      </c>
      <c r="F100" s="9" t="s">
        <v>424</v>
      </c>
      <c r="G100" s="10">
        <v>239.3</v>
      </c>
      <c r="H100" s="11">
        <v>174.6</v>
      </c>
      <c r="I100" s="10">
        <v>182.2</v>
      </c>
      <c r="J100" s="10">
        <f>AVERAGE(Table5[[#This Row],[23 Pts]:[25 Proj]])</f>
        <v>198.69999999999996</v>
      </c>
      <c r="K100" s="32">
        <f>Table5[[#This Row],[Avg]]/17</f>
        <v>11.688235294117645</v>
      </c>
      <c r="L100" s="9" t="s">
        <v>150</v>
      </c>
      <c r="M100">
        <v>24</v>
      </c>
      <c r="N100">
        <v>2</v>
      </c>
    </row>
    <row r="101" spans="2:14" x14ac:dyDescent="0.35">
      <c r="B101" s="8">
        <v>4</v>
      </c>
      <c r="C101" s="8">
        <v>4</v>
      </c>
      <c r="D101" s="47" t="s">
        <v>17</v>
      </c>
      <c r="E101" s="4" t="s">
        <v>18</v>
      </c>
      <c r="F101" s="9" t="s">
        <v>10</v>
      </c>
      <c r="G101" s="10">
        <v>371.82</v>
      </c>
      <c r="H101" s="11">
        <v>320.12</v>
      </c>
      <c r="I101" s="10">
        <v>341.52</v>
      </c>
      <c r="J101" s="10">
        <f>AVERAGE(Table5[[#This Row],[23 Pts]:[25 Proj]])</f>
        <v>344.48666666666668</v>
      </c>
      <c r="K101" s="32">
        <f>Table5[[#This Row],[Avg]]/17</f>
        <v>20.263921568627453</v>
      </c>
      <c r="L101" s="9" t="s">
        <v>150</v>
      </c>
      <c r="M101">
        <v>25</v>
      </c>
      <c r="N101">
        <v>3</v>
      </c>
    </row>
    <row r="102" spans="2:14" x14ac:dyDescent="0.35">
      <c r="B102" s="8">
        <v>75</v>
      </c>
      <c r="C102" s="8">
        <v>26</v>
      </c>
      <c r="D102" s="48" t="s">
        <v>359</v>
      </c>
      <c r="E102" s="13" t="s">
        <v>23</v>
      </c>
      <c r="F102" s="9" t="s">
        <v>35</v>
      </c>
      <c r="G102" s="10">
        <v>206.4</v>
      </c>
      <c r="H102" s="14">
        <v>209.5</v>
      </c>
      <c r="I102" s="10">
        <v>194.2</v>
      </c>
      <c r="J102" s="10">
        <f>AVERAGE(Table5[[#This Row],[23 Pts]:[25 Proj]])</f>
        <v>203.36666666666665</v>
      </c>
      <c r="K102" s="32">
        <f>Table5[[#This Row],[Avg]]/17</f>
        <v>11.962745098039214</v>
      </c>
      <c r="L102" s="9" t="s">
        <v>150</v>
      </c>
      <c r="M102">
        <v>48</v>
      </c>
      <c r="N102">
        <v>4</v>
      </c>
    </row>
    <row r="103" spans="2:14" x14ac:dyDescent="0.35">
      <c r="B103" s="8">
        <v>76</v>
      </c>
      <c r="C103" s="8">
        <v>19</v>
      </c>
      <c r="D103" s="48" t="s">
        <v>86</v>
      </c>
      <c r="E103" s="13" t="s">
        <v>16</v>
      </c>
      <c r="F103" s="9" t="s">
        <v>24</v>
      </c>
      <c r="G103" s="10">
        <v>207.2</v>
      </c>
      <c r="H103" s="14">
        <v>221.72</v>
      </c>
      <c r="I103" s="10">
        <v>178</v>
      </c>
      <c r="J103" s="10">
        <f>AVERAGE(Table5[[#This Row],[23 Pts]:[25 Proj]])</f>
        <v>202.30666666666664</v>
      </c>
      <c r="K103" s="32">
        <f>Table5[[#This Row],[Avg]]/17</f>
        <v>11.900392156862743</v>
      </c>
      <c r="L103" s="9" t="s">
        <v>150</v>
      </c>
      <c r="M103">
        <v>49</v>
      </c>
      <c r="N103">
        <v>5</v>
      </c>
    </row>
    <row r="104" spans="2:14" x14ac:dyDescent="0.35">
      <c r="B104" s="8">
        <v>116</v>
      </c>
      <c r="C104" s="8">
        <v>34</v>
      </c>
      <c r="D104" s="48" t="s">
        <v>101</v>
      </c>
      <c r="E104" s="13" t="s">
        <v>52</v>
      </c>
      <c r="F104" s="9" t="s">
        <v>24</v>
      </c>
      <c r="G104" s="10">
        <v>196.4</v>
      </c>
      <c r="H104" s="14">
        <v>124.1</v>
      </c>
      <c r="I104" s="10">
        <v>175.8</v>
      </c>
      <c r="J104" s="10">
        <f>AVERAGE(Table5[[#This Row],[23 Pts]:[25 Proj]])</f>
        <v>165.43333333333334</v>
      </c>
      <c r="K104" s="32">
        <f>Table5[[#This Row],[Avg]]/17</f>
        <v>9.7313725490196088</v>
      </c>
      <c r="L104" s="9" t="s">
        <v>150</v>
      </c>
      <c r="M104">
        <v>72</v>
      </c>
      <c r="N104">
        <v>6</v>
      </c>
    </row>
    <row r="105" spans="2:14" x14ac:dyDescent="0.35">
      <c r="B105" s="8">
        <v>98</v>
      </c>
      <c r="C105" s="8">
        <v>38</v>
      </c>
      <c r="D105" s="48" t="s">
        <v>356</v>
      </c>
      <c r="E105" s="13" t="s">
        <v>21</v>
      </c>
      <c r="F105" s="9" t="s">
        <v>35</v>
      </c>
      <c r="G105" s="10">
        <v>198.6</v>
      </c>
      <c r="H105" s="14">
        <v>149.6</v>
      </c>
      <c r="I105" s="10">
        <v>198.3</v>
      </c>
      <c r="J105" s="10">
        <f>AVERAGE(Table5[[#This Row],[23 Pts]:[25 Proj]])</f>
        <v>182.16666666666666</v>
      </c>
      <c r="K105" s="32">
        <f>Table5[[#This Row],[Avg]]/17</f>
        <v>10.715686274509803</v>
      </c>
      <c r="L105" s="9" t="s">
        <v>150</v>
      </c>
      <c r="M105">
        <v>73</v>
      </c>
      <c r="N105">
        <v>7</v>
      </c>
    </row>
    <row r="106" spans="2:14" x14ac:dyDescent="0.35">
      <c r="B106" s="8">
        <v>115</v>
      </c>
      <c r="C106" s="8">
        <v>45</v>
      </c>
      <c r="D106" s="48" t="s">
        <v>378</v>
      </c>
      <c r="E106" s="13" t="s">
        <v>85</v>
      </c>
      <c r="F106" s="9" t="s">
        <v>35</v>
      </c>
      <c r="G106" s="10">
        <v>164.4</v>
      </c>
      <c r="H106" s="14">
        <v>175</v>
      </c>
      <c r="I106" s="10">
        <v>159.80000000000001</v>
      </c>
      <c r="J106" s="10">
        <f>AVERAGE(Table5[[#This Row],[23 Pts]:[25 Proj]])</f>
        <v>166.4</v>
      </c>
      <c r="K106" s="32">
        <f>Table5[[#This Row],[Avg]]/17</f>
        <v>9.7882352941176478</v>
      </c>
      <c r="L106" s="9" t="s">
        <v>150</v>
      </c>
      <c r="M106">
        <v>96</v>
      </c>
      <c r="N106">
        <v>8</v>
      </c>
    </row>
    <row r="107" spans="2:14" x14ac:dyDescent="0.35">
      <c r="B107" s="8">
        <v>296</v>
      </c>
      <c r="C107" s="8">
        <v>63</v>
      </c>
      <c r="D107" s="48" t="s">
        <v>198</v>
      </c>
      <c r="E107" s="13" t="s">
        <v>20</v>
      </c>
      <c r="F107" s="9" t="s">
        <v>24</v>
      </c>
      <c r="G107" s="10" t="s">
        <v>60</v>
      </c>
      <c r="H107" s="14">
        <v>85.2</v>
      </c>
      <c r="I107" s="10">
        <v>65.900000000000006</v>
      </c>
      <c r="J107" s="10">
        <f>AVERAGE(Table5[[#This Row],[23 Pts]:[25 Proj]])</f>
        <v>75.550000000000011</v>
      </c>
      <c r="K107" s="32">
        <f>Table5[[#This Row],[Avg]]/17</f>
        <v>4.4441176470588246</v>
      </c>
      <c r="L107" s="9" t="s">
        <v>150</v>
      </c>
      <c r="M107">
        <v>97</v>
      </c>
      <c r="N107">
        <v>9</v>
      </c>
    </row>
    <row r="108" spans="2:14" x14ac:dyDescent="0.35">
      <c r="B108" s="8">
        <v>23</v>
      </c>
      <c r="C108" s="8">
        <v>14</v>
      </c>
      <c r="D108" s="48" t="s">
        <v>63</v>
      </c>
      <c r="E108" s="13" t="s">
        <v>55</v>
      </c>
      <c r="F108" s="9" t="s">
        <v>10</v>
      </c>
      <c r="G108" s="10" t="s">
        <v>60</v>
      </c>
      <c r="H108" s="14">
        <v>260.54000000000002</v>
      </c>
      <c r="I108" s="10">
        <v>281.41000000000003</v>
      </c>
      <c r="J108" s="10">
        <f>AVERAGE(Table5[[#This Row],[23 Pts]:[25 Proj]])</f>
        <v>270.97500000000002</v>
      </c>
      <c r="K108" s="32">
        <f>Table5[[#This Row],[Avg]]/17</f>
        <v>15.939705882352943</v>
      </c>
      <c r="L108" s="9" t="s">
        <v>150</v>
      </c>
      <c r="M108">
        <v>120</v>
      </c>
      <c r="N108">
        <v>10</v>
      </c>
    </row>
    <row r="109" spans="2:14" x14ac:dyDescent="0.35">
      <c r="B109" s="8">
        <v>191</v>
      </c>
      <c r="C109" s="8">
        <v>17</v>
      </c>
      <c r="D109" s="48" t="s">
        <v>234</v>
      </c>
      <c r="E109" s="13" t="s">
        <v>18</v>
      </c>
      <c r="F109" s="9" t="s">
        <v>424</v>
      </c>
      <c r="G109" s="10">
        <v>136.30000000000001</v>
      </c>
      <c r="H109" s="14">
        <v>103.6</v>
      </c>
      <c r="I109" s="10">
        <v>143.30000000000001</v>
      </c>
      <c r="J109" s="10">
        <f>AVERAGE(Table5[[#This Row],[23 Pts]:[25 Proj]])</f>
        <v>127.73333333333335</v>
      </c>
      <c r="K109" s="32">
        <f>Table5[[#This Row],[Avg]]/17</f>
        <v>7.5137254901960793</v>
      </c>
      <c r="L109" s="9" t="s">
        <v>150</v>
      </c>
      <c r="M109">
        <v>121</v>
      </c>
      <c r="N109">
        <v>11</v>
      </c>
    </row>
    <row r="110" spans="2:14" x14ac:dyDescent="0.35">
      <c r="B110" s="8">
        <v>151</v>
      </c>
      <c r="C110" s="8">
        <v>9</v>
      </c>
      <c r="D110" s="48" t="s">
        <v>306</v>
      </c>
      <c r="E110" s="13" t="s">
        <v>48</v>
      </c>
      <c r="F110" s="9" t="s">
        <v>117</v>
      </c>
      <c r="G110" s="10">
        <v>114</v>
      </c>
      <c r="H110" s="14">
        <v>172</v>
      </c>
      <c r="I110" s="10">
        <v>147</v>
      </c>
      <c r="J110" s="10">
        <f>AVERAGE(Table5[[#This Row],[23 Pts]:[25 Proj]])</f>
        <v>144.33333333333334</v>
      </c>
      <c r="K110" s="32">
        <f>Table5[[#This Row],[Avg]]/17</f>
        <v>8.4901960784313726</v>
      </c>
      <c r="L110" s="9" t="s">
        <v>150</v>
      </c>
      <c r="M110">
        <v>144</v>
      </c>
      <c r="N110">
        <v>12</v>
      </c>
    </row>
    <row r="111" spans="2:14" x14ac:dyDescent="0.35">
      <c r="B111" s="8">
        <v>159</v>
      </c>
      <c r="C111" s="8">
        <v>5</v>
      </c>
      <c r="D111" s="48" t="s">
        <v>276</v>
      </c>
      <c r="E111" s="13" t="s">
        <v>52</v>
      </c>
      <c r="F111" s="9" t="s">
        <v>1</v>
      </c>
      <c r="G111" s="10">
        <v>143</v>
      </c>
      <c r="H111" s="14">
        <v>137</v>
      </c>
      <c r="I111" s="10">
        <v>140</v>
      </c>
      <c r="J111" s="10">
        <f>AVERAGE(Table5[[#This Row],[23 Pts]:[25 Proj]])</f>
        <v>140</v>
      </c>
      <c r="K111" s="32">
        <f>Table5[[#This Row],[Avg]]/17</f>
        <v>8.235294117647058</v>
      </c>
      <c r="L111" s="9" t="s">
        <v>150</v>
      </c>
      <c r="M111">
        <v>145</v>
      </c>
      <c r="N111">
        <v>13</v>
      </c>
    </row>
    <row r="112" spans="2:14" x14ac:dyDescent="0.35">
      <c r="B112" s="8">
        <v>289</v>
      </c>
      <c r="C112" s="8">
        <v>94</v>
      </c>
      <c r="D112" s="48" t="s">
        <v>395</v>
      </c>
      <c r="E112" s="13" t="s">
        <v>34</v>
      </c>
      <c r="F112" s="9" t="s">
        <v>35</v>
      </c>
      <c r="G112" s="10">
        <v>44.2</v>
      </c>
      <c r="H112" s="14">
        <v>80.400000000000006</v>
      </c>
      <c r="I112" s="10">
        <v>111.2</v>
      </c>
      <c r="J112" s="10">
        <f>AVERAGE(Table5[[#This Row],[23 Pts]:[25 Proj]])</f>
        <v>78.600000000000009</v>
      </c>
      <c r="K112" s="32">
        <f>Table5[[#This Row],[Avg]]/17</f>
        <v>4.6235294117647063</v>
      </c>
      <c r="L112" s="9" t="s">
        <v>150</v>
      </c>
      <c r="M112">
        <v>168</v>
      </c>
      <c r="N112">
        <v>14</v>
      </c>
    </row>
    <row r="113" spans="2:14" x14ac:dyDescent="0.35">
      <c r="B113" s="8">
        <v>201</v>
      </c>
      <c r="C113" s="8">
        <v>10</v>
      </c>
      <c r="D113" s="48" t="s">
        <v>277</v>
      </c>
      <c r="E113" s="13" t="s">
        <v>22</v>
      </c>
      <c r="F113" s="9" t="s">
        <v>1</v>
      </c>
      <c r="G113" s="10">
        <v>134</v>
      </c>
      <c r="H113" s="14">
        <v>132</v>
      </c>
      <c r="I113" s="10">
        <v>106</v>
      </c>
      <c r="J113" s="10">
        <f>AVERAGE(Table5[[#This Row],[23 Pts]:[25 Proj]])</f>
        <v>124</v>
      </c>
      <c r="K113" s="32">
        <f>Table5[[#This Row],[Avg]]/17</f>
        <v>7.2941176470588234</v>
      </c>
      <c r="L113" s="9" t="s">
        <v>150</v>
      </c>
      <c r="M113">
        <v>169</v>
      </c>
      <c r="N113">
        <v>15</v>
      </c>
    </row>
    <row r="114" spans="2:14" x14ac:dyDescent="0.35">
      <c r="B114" s="8">
        <v>5</v>
      </c>
      <c r="C114" s="8">
        <v>1</v>
      </c>
      <c r="D114" s="45" t="s">
        <v>43</v>
      </c>
      <c r="E114" s="13" t="s">
        <v>44</v>
      </c>
      <c r="F114" s="9" t="s">
        <v>35</v>
      </c>
      <c r="G114" s="10">
        <v>262.72000000000003</v>
      </c>
      <c r="H114" s="14">
        <v>403</v>
      </c>
      <c r="I114" s="10">
        <v>320</v>
      </c>
      <c r="J114" s="10">
        <f>AVERAGE(Table5[[#This Row],[23 Pts]:[25 Proj]])</f>
        <v>328.57333333333332</v>
      </c>
      <c r="K114" s="32">
        <f>Table5[[#This Row],[Avg]]/17</f>
        <v>19.327843137254902</v>
      </c>
      <c r="L114" s="9" t="s">
        <v>150</v>
      </c>
      <c r="M114">
        <v>192</v>
      </c>
      <c r="N114">
        <v>16</v>
      </c>
    </row>
    <row r="115" spans="2:14" x14ac:dyDescent="0.35">
      <c r="B115" s="8">
        <v>30</v>
      </c>
      <c r="C115" s="8">
        <v>5</v>
      </c>
      <c r="D115" s="48" t="s">
        <v>177</v>
      </c>
      <c r="E115" s="13" t="s">
        <v>65</v>
      </c>
      <c r="F115" s="9" t="s">
        <v>24</v>
      </c>
      <c r="G115" s="10" t="s">
        <v>60</v>
      </c>
      <c r="H115" s="14" t="s">
        <v>60</v>
      </c>
      <c r="I115" s="10">
        <v>256.39999999999998</v>
      </c>
      <c r="J115" s="10">
        <f>AVERAGE(Table5[[#This Row],[23 Pts]:[25 Proj]])</f>
        <v>256.39999999999998</v>
      </c>
      <c r="K115" s="32">
        <f>Table5[[#This Row],[Avg]]/17</f>
        <v>15.082352941176469</v>
      </c>
      <c r="L115" s="9" t="s">
        <v>158</v>
      </c>
      <c r="M115">
        <v>7</v>
      </c>
      <c r="N115">
        <v>1</v>
      </c>
    </row>
    <row r="116" spans="2:14" x14ac:dyDescent="0.35">
      <c r="B116" s="8">
        <v>58</v>
      </c>
      <c r="C116" s="8">
        <v>2</v>
      </c>
      <c r="D116" s="48" t="s">
        <v>45</v>
      </c>
      <c r="E116" s="13" t="s">
        <v>46</v>
      </c>
      <c r="F116" s="9" t="s">
        <v>424</v>
      </c>
      <c r="G116" s="10">
        <v>181.5</v>
      </c>
      <c r="H116" s="14">
        <v>249.8</v>
      </c>
      <c r="I116" s="10">
        <v>241.4</v>
      </c>
      <c r="J116" s="10">
        <f>AVERAGE(Table5[[#This Row],[23 Pts]:[25 Proj]])</f>
        <v>224.23333333333335</v>
      </c>
      <c r="K116" s="32">
        <f>Table5[[#This Row],[Avg]]/17</f>
        <v>13.190196078431374</v>
      </c>
      <c r="L116" s="9" t="s">
        <v>158</v>
      </c>
      <c r="M116">
        <v>18</v>
      </c>
      <c r="N116">
        <v>2</v>
      </c>
    </row>
    <row r="117" spans="2:14" x14ac:dyDescent="0.35">
      <c r="B117" s="8">
        <v>99</v>
      </c>
      <c r="C117" s="8">
        <v>28</v>
      </c>
      <c r="D117" s="48" t="s">
        <v>180</v>
      </c>
      <c r="E117" s="13" t="s">
        <v>83</v>
      </c>
      <c r="F117" s="9" t="s">
        <v>24</v>
      </c>
      <c r="G117" s="10" t="s">
        <v>60</v>
      </c>
      <c r="H117" s="14" t="s">
        <v>60</v>
      </c>
      <c r="I117" s="10">
        <v>181.5</v>
      </c>
      <c r="J117" s="10">
        <f>AVERAGE(Table5[[#This Row],[23 Pts]:[25 Proj]])</f>
        <v>181.5</v>
      </c>
      <c r="K117" s="32">
        <f>Table5[[#This Row],[Avg]]/17</f>
        <v>10.676470588235293</v>
      </c>
      <c r="L117" s="9" t="s">
        <v>158</v>
      </c>
      <c r="M117">
        <v>31</v>
      </c>
      <c r="N117">
        <v>3</v>
      </c>
    </row>
    <row r="118" spans="2:14" x14ac:dyDescent="0.35">
      <c r="B118" s="8">
        <v>65</v>
      </c>
      <c r="C118" s="8">
        <v>19</v>
      </c>
      <c r="D118" s="48" t="s">
        <v>349</v>
      </c>
      <c r="E118" s="13" t="s">
        <v>94</v>
      </c>
      <c r="F118" s="9" t="s">
        <v>35</v>
      </c>
      <c r="G118" s="10">
        <v>190.2</v>
      </c>
      <c r="H118" s="14">
        <v>240.3</v>
      </c>
      <c r="I118" s="10">
        <v>208.5</v>
      </c>
      <c r="J118" s="10">
        <f>AVERAGE(Table5[[#This Row],[23 Pts]:[25 Proj]])</f>
        <v>213</v>
      </c>
      <c r="K118" s="32">
        <f>Table5[[#This Row],[Avg]]/17</f>
        <v>12.529411764705882</v>
      </c>
      <c r="L118" s="9" t="s">
        <v>158</v>
      </c>
      <c r="M118">
        <v>42</v>
      </c>
      <c r="N118">
        <v>4</v>
      </c>
    </row>
    <row r="119" spans="2:14" x14ac:dyDescent="0.35">
      <c r="B119" s="8">
        <v>7</v>
      </c>
      <c r="C119" s="8">
        <v>6</v>
      </c>
      <c r="D119" s="48" t="s">
        <v>93</v>
      </c>
      <c r="E119" s="13" t="s">
        <v>94</v>
      </c>
      <c r="F119" s="9" t="s">
        <v>10</v>
      </c>
      <c r="G119" s="10" t="s">
        <v>60</v>
      </c>
      <c r="H119" s="14">
        <v>329.2</v>
      </c>
      <c r="I119" s="10">
        <v>308.69</v>
      </c>
      <c r="J119" s="10">
        <f>AVERAGE(Table5[[#This Row],[23 Pts]:[25 Proj]])</f>
        <v>318.94499999999999</v>
      </c>
      <c r="K119" s="32">
        <f>Table5[[#This Row],[Avg]]/17</f>
        <v>18.761470588235294</v>
      </c>
      <c r="L119" s="9" t="s">
        <v>158</v>
      </c>
      <c r="M119">
        <v>55</v>
      </c>
      <c r="N119">
        <v>5</v>
      </c>
    </row>
    <row r="120" spans="2:14" x14ac:dyDescent="0.35">
      <c r="B120" s="8">
        <v>108</v>
      </c>
      <c r="C120" s="8">
        <v>42</v>
      </c>
      <c r="D120" s="48" t="s">
        <v>375</v>
      </c>
      <c r="E120" s="13" t="s">
        <v>73</v>
      </c>
      <c r="F120" s="9" t="s">
        <v>35</v>
      </c>
      <c r="G120" s="10">
        <v>157.1</v>
      </c>
      <c r="H120" s="14">
        <v>183.5</v>
      </c>
      <c r="I120" s="10">
        <v>169.6</v>
      </c>
      <c r="J120" s="10">
        <f>AVERAGE(Table5[[#This Row],[23 Pts]:[25 Proj]])</f>
        <v>170.06666666666669</v>
      </c>
      <c r="K120" s="32">
        <f>Table5[[#This Row],[Avg]]/17</f>
        <v>10.003921568627453</v>
      </c>
      <c r="L120" s="9" t="s">
        <v>158</v>
      </c>
      <c r="M120">
        <v>66</v>
      </c>
      <c r="N120">
        <v>6</v>
      </c>
    </row>
    <row r="121" spans="2:14" x14ac:dyDescent="0.35">
      <c r="B121" s="8">
        <v>119</v>
      </c>
      <c r="C121" s="8">
        <v>47</v>
      </c>
      <c r="D121" s="48" t="s">
        <v>365</v>
      </c>
      <c r="E121" s="13" t="s">
        <v>62</v>
      </c>
      <c r="F121" s="9" t="s">
        <v>35</v>
      </c>
      <c r="G121" s="10">
        <v>231.3</v>
      </c>
      <c r="H121" s="14">
        <v>76.7</v>
      </c>
      <c r="I121" s="10">
        <v>180.6</v>
      </c>
      <c r="J121" s="10">
        <f>AVERAGE(Table5[[#This Row],[23 Pts]:[25 Proj]])</f>
        <v>162.86666666666667</v>
      </c>
      <c r="K121" s="32">
        <f>Table5[[#This Row],[Avg]]/17</f>
        <v>9.5803921568627448</v>
      </c>
      <c r="L121" s="9" t="s">
        <v>158</v>
      </c>
      <c r="M121">
        <v>79</v>
      </c>
      <c r="N121">
        <v>7</v>
      </c>
    </row>
    <row r="122" spans="2:14" x14ac:dyDescent="0.35">
      <c r="B122" s="8">
        <v>106</v>
      </c>
      <c r="C122" s="8">
        <v>40</v>
      </c>
      <c r="D122" s="48" t="s">
        <v>372</v>
      </c>
      <c r="E122" s="13" t="s">
        <v>40</v>
      </c>
      <c r="F122" s="9" t="s">
        <v>35</v>
      </c>
      <c r="G122" s="10" t="s">
        <v>60</v>
      </c>
      <c r="H122" s="14" t="s">
        <v>60</v>
      </c>
      <c r="I122" s="10">
        <v>171.6</v>
      </c>
      <c r="J122" s="10">
        <f>AVERAGE(Table5[[#This Row],[23 Pts]:[25 Proj]])</f>
        <v>171.6</v>
      </c>
      <c r="K122" s="32">
        <f>Table5[[#This Row],[Avg]]/17</f>
        <v>10.094117647058823</v>
      </c>
      <c r="L122" s="9" t="s">
        <v>158</v>
      </c>
      <c r="M122">
        <v>90</v>
      </c>
      <c r="N122">
        <v>8</v>
      </c>
    </row>
    <row r="123" spans="2:14" x14ac:dyDescent="0.35">
      <c r="B123" s="8">
        <v>55</v>
      </c>
      <c r="C123" s="8">
        <v>25</v>
      </c>
      <c r="D123" s="48" t="s">
        <v>88</v>
      </c>
      <c r="E123" s="13" t="s">
        <v>83</v>
      </c>
      <c r="F123" s="9" t="s">
        <v>10</v>
      </c>
      <c r="G123" s="10" t="s">
        <v>60</v>
      </c>
      <c r="H123" s="14">
        <v>187.14</v>
      </c>
      <c r="I123" s="10">
        <v>282.92</v>
      </c>
      <c r="J123" s="10">
        <f>AVERAGE(Table5[[#This Row],[23 Pts]:[25 Proj]])</f>
        <v>235.03</v>
      </c>
      <c r="K123" s="32">
        <f>Table5[[#This Row],[Avg]]/17</f>
        <v>13.82529411764706</v>
      </c>
      <c r="L123" s="9" t="s">
        <v>158</v>
      </c>
      <c r="M123">
        <v>103</v>
      </c>
      <c r="N123">
        <v>9</v>
      </c>
    </row>
    <row r="124" spans="2:14" x14ac:dyDescent="0.35">
      <c r="B124" s="8">
        <v>224</v>
      </c>
      <c r="C124" s="8">
        <v>47</v>
      </c>
      <c r="D124" s="48" t="s">
        <v>188</v>
      </c>
      <c r="E124" s="13" t="s">
        <v>9</v>
      </c>
      <c r="F124" s="9" t="s">
        <v>24</v>
      </c>
      <c r="G124" s="10" t="s">
        <v>60</v>
      </c>
      <c r="H124" s="14">
        <v>116.1</v>
      </c>
      <c r="I124" s="10">
        <v>108.6</v>
      </c>
      <c r="J124" s="10">
        <f>AVERAGE(Table5[[#This Row],[23 Pts]:[25 Proj]])</f>
        <v>112.35</v>
      </c>
      <c r="K124" s="32">
        <f>Table5[[#This Row],[Avg]]/17</f>
        <v>6.6088235294117643</v>
      </c>
      <c r="L124" s="9" t="s">
        <v>158</v>
      </c>
      <c r="M124">
        <v>114</v>
      </c>
      <c r="N124">
        <v>10</v>
      </c>
    </row>
    <row r="125" spans="2:14" x14ac:dyDescent="0.35">
      <c r="B125" s="8">
        <v>302</v>
      </c>
      <c r="C125" s="8">
        <v>64</v>
      </c>
      <c r="D125" s="48" t="s">
        <v>125</v>
      </c>
      <c r="E125" s="13" t="s">
        <v>46</v>
      </c>
      <c r="F125" s="9" t="s">
        <v>24</v>
      </c>
      <c r="G125" s="10" t="s">
        <v>60</v>
      </c>
      <c r="H125" s="14">
        <v>47</v>
      </c>
      <c r="I125" s="10">
        <v>96.5</v>
      </c>
      <c r="J125" s="10">
        <f>AVERAGE(Table5[[#This Row],[23 Pts]:[25 Proj]])</f>
        <v>71.75</v>
      </c>
      <c r="K125" s="32">
        <f>Table5[[#This Row],[Avg]]/17</f>
        <v>4.2205882352941178</v>
      </c>
      <c r="L125" s="9" t="s">
        <v>158</v>
      </c>
      <c r="M125">
        <v>127</v>
      </c>
      <c r="N125">
        <v>11</v>
      </c>
    </row>
    <row r="126" spans="2:14" x14ac:dyDescent="0.35">
      <c r="B126" s="8">
        <v>207</v>
      </c>
      <c r="C126" s="8">
        <v>74</v>
      </c>
      <c r="D126" s="48" t="s">
        <v>383</v>
      </c>
      <c r="E126" s="13" t="s">
        <v>9</v>
      </c>
      <c r="F126" s="9" t="s">
        <v>35</v>
      </c>
      <c r="G126" s="10">
        <v>106.7</v>
      </c>
      <c r="H126" s="14">
        <v>107.4</v>
      </c>
      <c r="I126" s="10">
        <v>146.30000000000001</v>
      </c>
      <c r="J126" s="10">
        <f>AVERAGE(Table5[[#This Row],[23 Pts]:[25 Proj]])</f>
        <v>120.13333333333334</v>
      </c>
      <c r="K126" s="32">
        <f>Table5[[#This Row],[Avg]]/17</f>
        <v>7.0666666666666673</v>
      </c>
      <c r="L126" s="9" t="s">
        <v>158</v>
      </c>
      <c r="M126">
        <v>138</v>
      </c>
      <c r="N126">
        <v>12</v>
      </c>
    </row>
    <row r="127" spans="2:14" x14ac:dyDescent="0.35">
      <c r="B127" s="8">
        <v>195</v>
      </c>
      <c r="C127" s="8">
        <v>44</v>
      </c>
      <c r="D127" s="48" t="s">
        <v>130</v>
      </c>
      <c r="E127" s="13" t="s">
        <v>104</v>
      </c>
      <c r="F127" s="9" t="s">
        <v>24</v>
      </c>
      <c r="G127" s="10">
        <v>91.5</v>
      </c>
      <c r="H127" s="14">
        <v>197.8</v>
      </c>
      <c r="I127" s="10">
        <v>88.1</v>
      </c>
      <c r="J127" s="10">
        <f>AVERAGE(Table5[[#This Row],[23 Pts]:[25 Proj]])</f>
        <v>125.8</v>
      </c>
      <c r="K127" s="32">
        <f>Table5[[#This Row],[Avg]]/17</f>
        <v>7.3999999999999995</v>
      </c>
      <c r="L127" s="9" t="s">
        <v>158</v>
      </c>
      <c r="M127">
        <v>151</v>
      </c>
      <c r="N127">
        <v>13</v>
      </c>
    </row>
    <row r="128" spans="2:14" x14ac:dyDescent="0.35">
      <c r="B128" s="8">
        <v>162</v>
      </c>
      <c r="C128" s="8">
        <v>6</v>
      </c>
      <c r="D128" s="48" t="s">
        <v>273</v>
      </c>
      <c r="E128" s="13" t="s">
        <v>48</v>
      </c>
      <c r="F128" s="9" t="s">
        <v>1</v>
      </c>
      <c r="G128" s="10">
        <v>131</v>
      </c>
      <c r="H128" s="14">
        <v>141</v>
      </c>
      <c r="I128" s="10">
        <v>141</v>
      </c>
      <c r="J128" s="10">
        <f>AVERAGE(Table5[[#This Row],[23 Pts]:[25 Proj]])</f>
        <v>137.66666666666666</v>
      </c>
      <c r="K128" s="32">
        <f>Table5[[#This Row],[Avg]]/17</f>
        <v>8.0980392156862742</v>
      </c>
      <c r="L128" s="9" t="s">
        <v>158</v>
      </c>
      <c r="M128">
        <v>162</v>
      </c>
      <c r="N128">
        <v>14</v>
      </c>
    </row>
    <row r="129" spans="2:14" x14ac:dyDescent="0.35">
      <c r="B129" s="8">
        <v>158</v>
      </c>
      <c r="C129" s="8">
        <v>12</v>
      </c>
      <c r="D129" s="48" t="s">
        <v>313</v>
      </c>
      <c r="E129" s="13" t="s">
        <v>9</v>
      </c>
      <c r="F129" s="9" t="s">
        <v>117</v>
      </c>
      <c r="G129" s="10">
        <v>133</v>
      </c>
      <c r="H129" s="14">
        <v>146</v>
      </c>
      <c r="I129" s="10">
        <v>142</v>
      </c>
      <c r="J129" s="10">
        <f>AVERAGE(Table5[[#This Row],[23 Pts]:[25 Proj]])</f>
        <v>140.33333333333334</v>
      </c>
      <c r="K129" s="32">
        <f>Table5[[#This Row],[Avg]]/17</f>
        <v>8.2549019607843146</v>
      </c>
      <c r="L129" s="9" t="s">
        <v>158</v>
      </c>
      <c r="M129">
        <v>175</v>
      </c>
      <c r="N129">
        <v>15</v>
      </c>
    </row>
    <row r="130" spans="2:14" x14ac:dyDescent="0.35">
      <c r="B130" s="8">
        <v>8</v>
      </c>
      <c r="C130" s="8">
        <v>2</v>
      </c>
      <c r="D130" s="45" t="s">
        <v>13</v>
      </c>
      <c r="E130" s="13" t="s">
        <v>14</v>
      </c>
      <c r="F130" s="9" t="s">
        <v>35</v>
      </c>
      <c r="G130" s="10">
        <v>403.2</v>
      </c>
      <c r="H130" s="14">
        <v>263.39999999999998</v>
      </c>
      <c r="I130" s="10">
        <v>288.60000000000002</v>
      </c>
      <c r="J130" s="10">
        <f>AVERAGE(Table5[[#This Row],[23 Pts]:[25 Proj]])</f>
        <v>318.39999999999998</v>
      </c>
      <c r="K130" s="32">
        <f>Table5[[#This Row],[Avg]]/17</f>
        <v>18.72941176470588</v>
      </c>
      <c r="L130" s="9" t="s">
        <v>158</v>
      </c>
      <c r="M130">
        <v>186</v>
      </c>
      <c r="N130">
        <v>16</v>
      </c>
    </row>
    <row r="131" spans="2:14" x14ac:dyDescent="0.35">
      <c r="B131" s="8">
        <v>104</v>
      </c>
      <c r="C131" s="8">
        <v>30</v>
      </c>
      <c r="D131" s="48" t="s">
        <v>129</v>
      </c>
      <c r="E131" s="13" t="s">
        <v>44</v>
      </c>
      <c r="F131" s="9" t="s">
        <v>24</v>
      </c>
      <c r="G131" s="10">
        <v>53.5</v>
      </c>
      <c r="H131" s="14">
        <v>255</v>
      </c>
      <c r="I131" s="10">
        <v>220</v>
      </c>
      <c r="J131" s="10">
        <f>AVERAGE(Table5[[#This Row],[23 Pts]:[25 Proj]])</f>
        <v>176.16666666666666</v>
      </c>
      <c r="K131" s="32">
        <f>Table5[[#This Row],[Avg]]/17</f>
        <v>10.362745098039214</v>
      </c>
      <c r="L131" s="9" t="s">
        <v>144</v>
      </c>
      <c r="M131">
        <v>12</v>
      </c>
      <c r="N131">
        <v>1</v>
      </c>
    </row>
    <row r="132" spans="2:14" x14ac:dyDescent="0.35">
      <c r="B132" s="8">
        <v>45</v>
      </c>
      <c r="C132" s="8">
        <v>13</v>
      </c>
      <c r="D132" s="48" t="s">
        <v>340</v>
      </c>
      <c r="E132" s="13" t="s">
        <v>79</v>
      </c>
      <c r="F132" s="9" t="s">
        <v>35</v>
      </c>
      <c r="G132" s="10" t="s">
        <v>60</v>
      </c>
      <c r="H132" s="14">
        <v>240.9</v>
      </c>
      <c r="I132" s="10">
        <v>242.1</v>
      </c>
      <c r="J132" s="10">
        <f>AVERAGE(Table5[[#This Row],[23 Pts]:[25 Proj]])</f>
        <v>241.5</v>
      </c>
      <c r="K132" s="32">
        <f>Table5[[#This Row],[Avg]]/17</f>
        <v>14.205882352941176</v>
      </c>
      <c r="L132" s="9" t="s">
        <v>144</v>
      </c>
      <c r="M132">
        <v>13</v>
      </c>
      <c r="N132">
        <v>2</v>
      </c>
    </row>
    <row r="133" spans="2:14" x14ac:dyDescent="0.35">
      <c r="B133" s="8">
        <v>43</v>
      </c>
      <c r="C133" s="8">
        <v>12</v>
      </c>
      <c r="D133" s="48" t="s">
        <v>347</v>
      </c>
      <c r="E133" s="13" t="s">
        <v>55</v>
      </c>
      <c r="F133" s="9" t="s">
        <v>35</v>
      </c>
      <c r="G133" s="10">
        <v>286.5</v>
      </c>
      <c r="H133" s="14">
        <v>238.1</v>
      </c>
      <c r="I133" s="10">
        <v>211.3</v>
      </c>
      <c r="J133" s="10">
        <f>AVERAGE(Table5[[#This Row],[23 Pts]:[25 Proj]])</f>
        <v>245.30000000000004</v>
      </c>
      <c r="K133" s="32">
        <f>Table5[[#This Row],[Avg]]/17</f>
        <v>14.429411764705884</v>
      </c>
      <c r="L133" s="9" t="s">
        <v>144</v>
      </c>
      <c r="M133">
        <v>36</v>
      </c>
      <c r="N133">
        <v>3</v>
      </c>
    </row>
    <row r="134" spans="2:14" x14ac:dyDescent="0.35">
      <c r="B134" s="8">
        <v>39</v>
      </c>
      <c r="C134" s="8">
        <v>8</v>
      </c>
      <c r="D134" s="48" t="s">
        <v>19</v>
      </c>
      <c r="E134" s="13" t="s">
        <v>20</v>
      </c>
      <c r="F134" s="9" t="s">
        <v>24</v>
      </c>
      <c r="G134" s="10">
        <v>290.5</v>
      </c>
      <c r="H134" s="14">
        <v>240.9</v>
      </c>
      <c r="I134" s="10">
        <v>219.1</v>
      </c>
      <c r="J134" s="10">
        <f>AVERAGE(Table5[[#This Row],[23 Pts]:[25 Proj]])</f>
        <v>250.16666666666666</v>
      </c>
      <c r="K134" s="32">
        <f>Table5[[#This Row],[Avg]]/17</f>
        <v>14.715686274509803</v>
      </c>
      <c r="L134" s="9" t="s">
        <v>144</v>
      </c>
      <c r="M134">
        <v>37</v>
      </c>
      <c r="N134">
        <v>4</v>
      </c>
    </row>
    <row r="135" spans="2:14" x14ac:dyDescent="0.35">
      <c r="B135" s="8">
        <v>87</v>
      </c>
      <c r="C135" s="8">
        <v>5</v>
      </c>
      <c r="D135" s="48" t="s">
        <v>228</v>
      </c>
      <c r="E135" s="13" t="s">
        <v>22</v>
      </c>
      <c r="F135" s="9" t="s">
        <v>424</v>
      </c>
      <c r="G135" s="10">
        <v>219.4</v>
      </c>
      <c r="H135" s="14">
        <v>195.4</v>
      </c>
      <c r="I135" s="10">
        <v>165.2</v>
      </c>
      <c r="J135" s="10">
        <f>AVERAGE(Table5[[#This Row],[23 Pts]:[25 Proj]])</f>
        <v>193.33333333333334</v>
      </c>
      <c r="K135" s="32">
        <f>Table5[[#This Row],[Avg]]/17</f>
        <v>11.372549019607844</v>
      </c>
      <c r="L135" s="9" t="s">
        <v>144</v>
      </c>
      <c r="M135">
        <v>60</v>
      </c>
      <c r="N135">
        <v>5</v>
      </c>
    </row>
    <row r="136" spans="2:14" x14ac:dyDescent="0.35">
      <c r="B136" s="8">
        <v>172</v>
      </c>
      <c r="C136" s="8">
        <v>63</v>
      </c>
      <c r="D136" s="48" t="s">
        <v>368</v>
      </c>
      <c r="E136" s="13" t="s">
        <v>12</v>
      </c>
      <c r="F136" s="9" t="s">
        <v>35</v>
      </c>
      <c r="G136" s="10" t="s">
        <v>60</v>
      </c>
      <c r="H136" s="14">
        <v>93.5</v>
      </c>
      <c r="I136" s="10">
        <v>173.9</v>
      </c>
      <c r="J136" s="10">
        <f>AVERAGE(Table5[[#This Row],[23 Pts]:[25 Proj]])</f>
        <v>133.69999999999999</v>
      </c>
      <c r="K136" s="32">
        <f>Table5[[#This Row],[Avg]]/17</f>
        <v>7.8647058823529408</v>
      </c>
      <c r="L136" s="9" t="s">
        <v>144</v>
      </c>
      <c r="M136">
        <v>61</v>
      </c>
      <c r="N136">
        <v>6</v>
      </c>
    </row>
    <row r="137" spans="2:14" x14ac:dyDescent="0.35">
      <c r="B137" s="8">
        <v>27</v>
      </c>
      <c r="C137" s="8">
        <v>16</v>
      </c>
      <c r="D137" s="48" t="s">
        <v>47</v>
      </c>
      <c r="E137" s="13" t="s">
        <v>48</v>
      </c>
      <c r="F137" s="9" t="s">
        <v>10</v>
      </c>
      <c r="G137" s="10">
        <v>281.02</v>
      </c>
      <c r="H137" s="14">
        <v>232.38</v>
      </c>
      <c r="I137" s="10">
        <v>280.69</v>
      </c>
      <c r="J137" s="10">
        <f>AVERAGE(Table5[[#This Row],[23 Pts]:[25 Proj]])</f>
        <v>264.69666666666666</v>
      </c>
      <c r="K137" s="32">
        <f>Table5[[#This Row],[Avg]]/17</f>
        <v>15.570392156862745</v>
      </c>
      <c r="L137" s="9" t="s">
        <v>144</v>
      </c>
      <c r="M137">
        <v>84</v>
      </c>
      <c r="N137">
        <v>7</v>
      </c>
    </row>
    <row r="138" spans="2:14" x14ac:dyDescent="0.35">
      <c r="B138" s="8">
        <v>225</v>
      </c>
      <c r="C138" s="8">
        <v>48</v>
      </c>
      <c r="D138" s="48" t="s">
        <v>138</v>
      </c>
      <c r="E138" s="13" t="s">
        <v>94</v>
      </c>
      <c r="F138" s="9" t="s">
        <v>24</v>
      </c>
      <c r="G138" s="10">
        <v>11.7</v>
      </c>
      <c r="H138" s="14">
        <v>191.8</v>
      </c>
      <c r="I138" s="10">
        <v>132.69999999999999</v>
      </c>
      <c r="J138" s="10">
        <f>AVERAGE(Table5[[#This Row],[23 Pts]:[25 Proj]])</f>
        <v>112.06666666666666</v>
      </c>
      <c r="K138" s="32">
        <f>Table5[[#This Row],[Avg]]/17</f>
        <v>6.5921568627450977</v>
      </c>
      <c r="L138" s="9" t="s">
        <v>144</v>
      </c>
      <c r="M138">
        <v>85</v>
      </c>
      <c r="N138">
        <v>8</v>
      </c>
    </row>
    <row r="139" spans="2:14" x14ac:dyDescent="0.35">
      <c r="B139" s="8">
        <v>102</v>
      </c>
      <c r="C139" s="8">
        <v>1</v>
      </c>
      <c r="D139" s="48" t="s">
        <v>303</v>
      </c>
      <c r="E139" s="13" t="s">
        <v>14</v>
      </c>
      <c r="F139" s="9" t="s">
        <v>117</v>
      </c>
      <c r="G139" s="10">
        <v>181</v>
      </c>
      <c r="H139" s="14">
        <v>192</v>
      </c>
      <c r="I139" s="10">
        <v>164</v>
      </c>
      <c r="J139" s="10">
        <f>AVERAGE(Table5[[#This Row],[23 Pts]:[25 Proj]])</f>
        <v>179</v>
      </c>
      <c r="K139" s="32">
        <f>Table5[[#This Row],[Avg]]/17</f>
        <v>10.529411764705882</v>
      </c>
      <c r="L139" s="9" t="s">
        <v>144</v>
      </c>
      <c r="M139">
        <v>108</v>
      </c>
      <c r="N139">
        <v>9</v>
      </c>
    </row>
    <row r="140" spans="2:14" x14ac:dyDescent="0.35">
      <c r="B140" s="8">
        <v>176</v>
      </c>
      <c r="C140" s="8">
        <v>14</v>
      </c>
      <c r="D140" s="48" t="s">
        <v>238</v>
      </c>
      <c r="E140" s="13" t="s">
        <v>31</v>
      </c>
      <c r="F140" s="9" t="s">
        <v>424</v>
      </c>
      <c r="G140" s="10">
        <v>137.30000000000001</v>
      </c>
      <c r="H140" s="14">
        <v>131.19999999999999</v>
      </c>
      <c r="I140" s="10">
        <v>130</v>
      </c>
      <c r="J140" s="10">
        <f>AVERAGE(Table5[[#This Row],[23 Pts]:[25 Proj]])</f>
        <v>132.83333333333334</v>
      </c>
      <c r="K140" s="32">
        <f>Table5[[#This Row],[Avg]]/17</f>
        <v>7.8137254901960791</v>
      </c>
      <c r="L140" s="9" t="s">
        <v>144</v>
      </c>
      <c r="M140">
        <v>109</v>
      </c>
      <c r="N140">
        <v>10</v>
      </c>
    </row>
    <row r="141" spans="2:14" x14ac:dyDescent="0.35">
      <c r="B141" s="8">
        <v>204</v>
      </c>
      <c r="C141" s="8">
        <v>73</v>
      </c>
      <c r="D141" s="48" t="s">
        <v>373</v>
      </c>
      <c r="E141" s="13" t="s">
        <v>94</v>
      </c>
      <c r="F141" s="9" t="s">
        <v>35</v>
      </c>
      <c r="G141" s="10">
        <v>70.7</v>
      </c>
      <c r="H141" s="14">
        <v>129.5</v>
      </c>
      <c r="I141" s="10">
        <v>170.1</v>
      </c>
      <c r="J141" s="10">
        <f>AVERAGE(Table5[[#This Row],[23 Pts]:[25 Proj]])</f>
        <v>123.43333333333332</v>
      </c>
      <c r="K141" s="32">
        <f>Table5[[#This Row],[Avg]]/17</f>
        <v>7.2607843137254893</v>
      </c>
      <c r="L141" s="9" t="s">
        <v>144</v>
      </c>
      <c r="M141">
        <v>132</v>
      </c>
      <c r="N141">
        <v>11</v>
      </c>
    </row>
    <row r="142" spans="2:14" x14ac:dyDescent="0.35">
      <c r="B142" s="8">
        <v>53</v>
      </c>
      <c r="C142" s="8">
        <v>24</v>
      </c>
      <c r="D142" s="48" t="s">
        <v>66</v>
      </c>
      <c r="E142" s="13" t="s">
        <v>27</v>
      </c>
      <c r="F142" s="9" t="s">
        <v>10</v>
      </c>
      <c r="G142" s="10">
        <v>276.54000000000002</v>
      </c>
      <c r="H142" s="14">
        <v>152.19999999999999</v>
      </c>
      <c r="I142" s="10">
        <v>283.43</v>
      </c>
      <c r="J142" s="10">
        <f>AVERAGE(Table5[[#This Row],[23 Pts]:[25 Proj]])</f>
        <v>237.39000000000001</v>
      </c>
      <c r="K142" s="32">
        <f>Table5[[#This Row],[Avg]]/17</f>
        <v>13.964117647058824</v>
      </c>
      <c r="L142" s="9" t="s">
        <v>144</v>
      </c>
      <c r="M142">
        <v>133</v>
      </c>
      <c r="N142">
        <v>12</v>
      </c>
    </row>
    <row r="143" spans="2:14" x14ac:dyDescent="0.35">
      <c r="B143" s="8">
        <v>150</v>
      </c>
      <c r="C143" s="8">
        <v>39</v>
      </c>
      <c r="D143" s="48" t="s">
        <v>109</v>
      </c>
      <c r="E143" s="13" t="s">
        <v>34</v>
      </c>
      <c r="F143" s="9" t="s">
        <v>24</v>
      </c>
      <c r="G143" s="10">
        <v>211.2</v>
      </c>
      <c r="H143" s="14">
        <v>134</v>
      </c>
      <c r="I143" s="10">
        <v>89.6</v>
      </c>
      <c r="J143" s="10">
        <f>AVERAGE(Table5[[#This Row],[23 Pts]:[25 Proj]])</f>
        <v>144.93333333333331</v>
      </c>
      <c r="K143" s="32">
        <f>Table5[[#This Row],[Avg]]/17</f>
        <v>8.5254901960784295</v>
      </c>
      <c r="L143" s="9" t="s">
        <v>144</v>
      </c>
      <c r="M143">
        <v>156</v>
      </c>
      <c r="N143">
        <v>13</v>
      </c>
    </row>
    <row r="144" spans="2:14" x14ac:dyDescent="0.35">
      <c r="B144" s="8">
        <v>352</v>
      </c>
      <c r="C144" s="8">
        <v>95</v>
      </c>
      <c r="D144" s="48" t="s">
        <v>219</v>
      </c>
      <c r="E144" s="13" t="s">
        <v>48</v>
      </c>
      <c r="F144" s="9" t="s">
        <v>24</v>
      </c>
      <c r="G144" s="10" t="s">
        <v>60</v>
      </c>
      <c r="H144" s="14" t="s">
        <v>60</v>
      </c>
      <c r="I144" s="10">
        <v>34.9</v>
      </c>
      <c r="J144" s="10">
        <f>AVERAGE(Table5[[#This Row],[23 Pts]:[25 Proj]])</f>
        <v>34.9</v>
      </c>
      <c r="K144" s="32">
        <f>Table5[[#This Row],[Avg]]/17</f>
        <v>2.052941176470588</v>
      </c>
      <c r="L144" s="9" t="s">
        <v>144</v>
      </c>
      <c r="M144">
        <v>157</v>
      </c>
      <c r="N144">
        <v>14</v>
      </c>
    </row>
    <row r="145" spans="2:14" x14ac:dyDescent="0.35">
      <c r="B145" s="8">
        <v>282</v>
      </c>
      <c r="C145" s="8">
        <v>30</v>
      </c>
      <c r="D145" s="48" t="s">
        <v>288</v>
      </c>
      <c r="E145" s="13" t="s">
        <v>59</v>
      </c>
      <c r="F145" s="9" t="s">
        <v>1</v>
      </c>
      <c r="G145" s="10">
        <v>64</v>
      </c>
      <c r="H145" s="14">
        <v>100</v>
      </c>
      <c r="I145" s="10">
        <v>90</v>
      </c>
      <c r="J145" s="10">
        <f>AVERAGE(Table5[[#This Row],[23 Pts]:[25 Proj]])</f>
        <v>84.666666666666671</v>
      </c>
      <c r="K145" s="32">
        <f>Table5[[#This Row],[Avg]]/17</f>
        <v>4.9803921568627452</v>
      </c>
      <c r="L145" s="9" t="s">
        <v>144</v>
      </c>
      <c r="M145">
        <v>180</v>
      </c>
      <c r="N145">
        <v>15</v>
      </c>
    </row>
    <row r="146" spans="2:14" x14ac:dyDescent="0.35">
      <c r="B146" s="8">
        <v>28</v>
      </c>
      <c r="C146" s="8">
        <v>8</v>
      </c>
      <c r="D146" s="45" t="s">
        <v>335</v>
      </c>
      <c r="E146" s="13" t="s">
        <v>38</v>
      </c>
      <c r="F146" s="9" t="s">
        <v>35</v>
      </c>
      <c r="G146" s="10">
        <v>298.5</v>
      </c>
      <c r="H146" s="14">
        <v>206.6</v>
      </c>
      <c r="I146" s="10">
        <v>276.2</v>
      </c>
      <c r="J146" s="10">
        <f>AVERAGE(Table5[[#This Row],[23 Pts]:[25 Proj]])</f>
        <v>260.43333333333334</v>
      </c>
      <c r="K146" s="32">
        <f>Table5[[#This Row],[Avg]]/17</f>
        <v>15.319607843137256</v>
      </c>
      <c r="L146" s="9" t="s">
        <v>144</v>
      </c>
      <c r="M146">
        <v>181</v>
      </c>
      <c r="N146">
        <v>16</v>
      </c>
    </row>
    <row r="147" spans="2:14" x14ac:dyDescent="0.35">
      <c r="B147" s="8">
        <v>38</v>
      </c>
      <c r="C147" s="8">
        <v>7</v>
      </c>
      <c r="D147" s="48" t="s">
        <v>75</v>
      </c>
      <c r="E147" s="13" t="s">
        <v>21</v>
      </c>
      <c r="F147" s="9" t="s">
        <v>24</v>
      </c>
      <c r="G147" s="10">
        <v>190.7</v>
      </c>
      <c r="H147" s="14">
        <v>299.89999999999998</v>
      </c>
      <c r="I147" s="10">
        <v>260.60000000000002</v>
      </c>
      <c r="J147" s="10">
        <f>AVERAGE(Table5[[#This Row],[23 Pts]:[25 Proj]])</f>
        <v>250.4</v>
      </c>
      <c r="K147" s="32">
        <f>Table5[[#This Row],[Avg]]/17</f>
        <v>14.729411764705883</v>
      </c>
      <c r="L147" s="9" t="s">
        <v>157</v>
      </c>
      <c r="M147">
        <v>9</v>
      </c>
      <c r="N147">
        <v>1</v>
      </c>
    </row>
    <row r="148" spans="2:14" x14ac:dyDescent="0.35">
      <c r="B148" s="8">
        <v>35</v>
      </c>
      <c r="C148" s="8">
        <v>6</v>
      </c>
      <c r="D148" s="48" t="s">
        <v>37</v>
      </c>
      <c r="E148" s="13" t="s">
        <v>38</v>
      </c>
      <c r="F148" s="9" t="s">
        <v>24</v>
      </c>
      <c r="G148" s="10">
        <v>255</v>
      </c>
      <c r="H148" s="14">
        <v>272.10000000000002</v>
      </c>
      <c r="I148" s="10">
        <v>225.5</v>
      </c>
      <c r="J148" s="10">
        <f>AVERAGE(Table5[[#This Row],[23 Pts]:[25 Proj]])</f>
        <v>250.86666666666667</v>
      </c>
      <c r="K148" s="32">
        <f>Table5[[#This Row],[Avg]]/17</f>
        <v>14.75686274509804</v>
      </c>
      <c r="L148" s="9" t="s">
        <v>157</v>
      </c>
      <c r="M148">
        <v>16</v>
      </c>
      <c r="N148">
        <v>2</v>
      </c>
    </row>
    <row r="149" spans="2:14" x14ac:dyDescent="0.35">
      <c r="B149" s="8">
        <v>67</v>
      </c>
      <c r="C149" s="8">
        <v>20</v>
      </c>
      <c r="D149" s="48" t="s">
        <v>351</v>
      </c>
      <c r="E149" s="13" t="s">
        <v>18</v>
      </c>
      <c r="F149" s="9" t="s">
        <v>35</v>
      </c>
      <c r="G149" s="10">
        <v>227.6</v>
      </c>
      <c r="H149" s="14">
        <v>199.4</v>
      </c>
      <c r="I149" s="10">
        <v>205</v>
      </c>
      <c r="J149" s="10">
        <f>AVERAGE(Table5[[#This Row],[23 Pts]:[25 Proj]])</f>
        <v>210.66666666666666</v>
      </c>
      <c r="K149" s="32">
        <f>Table5[[#This Row],[Avg]]/17</f>
        <v>12.392156862745097</v>
      </c>
      <c r="L149" s="9" t="s">
        <v>157</v>
      </c>
      <c r="M149">
        <v>33</v>
      </c>
      <c r="N149">
        <v>3</v>
      </c>
    </row>
    <row r="150" spans="2:14" x14ac:dyDescent="0.35">
      <c r="B150" s="8">
        <v>121</v>
      </c>
      <c r="C150" s="8">
        <v>8</v>
      </c>
      <c r="D150" s="48" t="s">
        <v>50</v>
      </c>
      <c r="E150" s="13" t="s">
        <v>51</v>
      </c>
      <c r="F150" s="9" t="s">
        <v>424</v>
      </c>
      <c r="G150" s="10">
        <v>219</v>
      </c>
      <c r="H150" s="14">
        <v>86.5</v>
      </c>
      <c r="I150" s="10">
        <v>172.8</v>
      </c>
      <c r="J150" s="10">
        <f>AVERAGE(Table5[[#This Row],[23 Pts]:[25 Proj]])</f>
        <v>159.43333333333334</v>
      </c>
      <c r="K150" s="32">
        <f>Table5[[#This Row],[Avg]]/17</f>
        <v>9.37843137254902</v>
      </c>
      <c r="L150" s="9" t="s">
        <v>157</v>
      </c>
      <c r="M150">
        <v>40</v>
      </c>
      <c r="N150">
        <v>4</v>
      </c>
    </row>
    <row r="151" spans="2:14" x14ac:dyDescent="0.35">
      <c r="B151" s="8">
        <v>68</v>
      </c>
      <c r="C151" s="8">
        <v>21</v>
      </c>
      <c r="D151" s="48" t="s">
        <v>355</v>
      </c>
      <c r="E151" s="13" t="s">
        <v>81</v>
      </c>
      <c r="F151" s="9" t="s">
        <v>35</v>
      </c>
      <c r="G151" s="10">
        <v>229.9</v>
      </c>
      <c r="H151" s="14">
        <v>199.2</v>
      </c>
      <c r="I151" s="10">
        <v>199.4</v>
      </c>
      <c r="J151" s="10">
        <f>AVERAGE(Table5[[#This Row],[23 Pts]:[25 Proj]])</f>
        <v>209.5</v>
      </c>
      <c r="K151" s="32">
        <f>Table5[[#This Row],[Avg]]/17</f>
        <v>12.323529411764707</v>
      </c>
      <c r="L151" s="9" t="s">
        <v>157</v>
      </c>
      <c r="M151">
        <v>57</v>
      </c>
      <c r="N151">
        <v>5</v>
      </c>
    </row>
    <row r="152" spans="2:14" x14ac:dyDescent="0.35">
      <c r="B152" s="8">
        <v>83</v>
      </c>
      <c r="C152" s="8">
        <v>30</v>
      </c>
      <c r="D152" s="48" t="s">
        <v>357</v>
      </c>
      <c r="E152" s="13" t="s">
        <v>27</v>
      </c>
      <c r="F152" s="9" t="s">
        <v>35</v>
      </c>
      <c r="G152" s="10" t="s">
        <v>60</v>
      </c>
      <c r="H152" s="14" t="s">
        <v>60</v>
      </c>
      <c r="I152" s="10">
        <v>195.7</v>
      </c>
      <c r="J152" s="10">
        <f>AVERAGE(Table5[[#This Row],[23 Pts]:[25 Proj]])</f>
        <v>195.7</v>
      </c>
      <c r="K152" s="32">
        <f>Table5[[#This Row],[Avg]]/17</f>
        <v>11.511764705882353</v>
      </c>
      <c r="L152" s="9" t="s">
        <v>157</v>
      </c>
      <c r="M152">
        <v>64</v>
      </c>
      <c r="N152">
        <v>6</v>
      </c>
    </row>
    <row r="153" spans="2:14" x14ac:dyDescent="0.35">
      <c r="B153" s="8">
        <v>84</v>
      </c>
      <c r="C153" s="8">
        <v>31</v>
      </c>
      <c r="D153" s="47" t="s">
        <v>364</v>
      </c>
      <c r="E153" s="4" t="s">
        <v>59</v>
      </c>
      <c r="F153" s="9" t="s">
        <v>35</v>
      </c>
      <c r="G153" s="10">
        <v>243.7</v>
      </c>
      <c r="H153" s="11">
        <v>153.6</v>
      </c>
      <c r="I153" s="10">
        <v>184.6</v>
      </c>
      <c r="J153" s="10">
        <f>AVERAGE(Table5[[#This Row],[23 Pts]:[25 Proj]])</f>
        <v>193.96666666666667</v>
      </c>
      <c r="K153" s="32">
        <f>Table5[[#This Row],[Avg]]/17</f>
        <v>11.409803921568628</v>
      </c>
      <c r="L153" s="9" t="s">
        <v>157</v>
      </c>
      <c r="M153">
        <v>81</v>
      </c>
      <c r="N153">
        <v>7</v>
      </c>
    </row>
    <row r="154" spans="2:14" x14ac:dyDescent="0.35">
      <c r="B154" s="8">
        <v>148</v>
      </c>
      <c r="C154" s="8">
        <v>38</v>
      </c>
      <c r="D154" s="47" t="s">
        <v>113</v>
      </c>
      <c r="E154" s="4" t="s">
        <v>59</v>
      </c>
      <c r="F154" s="9" t="s">
        <v>24</v>
      </c>
      <c r="G154" s="10">
        <v>185.4</v>
      </c>
      <c r="H154" s="11">
        <v>132.30000000000001</v>
      </c>
      <c r="I154" s="10">
        <v>117.5</v>
      </c>
      <c r="J154" s="10">
        <f>AVERAGE(Table5[[#This Row],[23 Pts]:[25 Proj]])</f>
        <v>145.06666666666669</v>
      </c>
      <c r="K154" s="32">
        <f>Table5[[#This Row],[Avg]]/17</f>
        <v>8.533333333333335</v>
      </c>
      <c r="L154" s="9" t="s">
        <v>157</v>
      </c>
      <c r="M154">
        <v>88</v>
      </c>
      <c r="N154">
        <v>8</v>
      </c>
    </row>
    <row r="155" spans="2:14" x14ac:dyDescent="0.35">
      <c r="B155" s="8">
        <v>82</v>
      </c>
      <c r="C155" s="8">
        <v>29</v>
      </c>
      <c r="D155" s="47" t="s">
        <v>367</v>
      </c>
      <c r="E155" s="4" t="s">
        <v>40</v>
      </c>
      <c r="F155" s="9" t="s">
        <v>35</v>
      </c>
      <c r="G155" s="10">
        <v>217.2</v>
      </c>
      <c r="H155" s="11">
        <v>197</v>
      </c>
      <c r="I155" s="10">
        <v>174.7</v>
      </c>
      <c r="J155" s="10">
        <f>AVERAGE(Table5[[#This Row],[23 Pts]:[25 Proj]])</f>
        <v>196.29999999999998</v>
      </c>
      <c r="K155" s="32">
        <f>Table5[[#This Row],[Avg]]/17</f>
        <v>11.547058823529412</v>
      </c>
      <c r="L155" s="9" t="s">
        <v>157</v>
      </c>
      <c r="M155">
        <v>105</v>
      </c>
      <c r="N155">
        <v>9</v>
      </c>
    </row>
    <row r="156" spans="2:14" x14ac:dyDescent="0.35">
      <c r="B156" s="8">
        <v>9</v>
      </c>
      <c r="C156" s="8">
        <v>7</v>
      </c>
      <c r="D156" s="47" t="s">
        <v>56</v>
      </c>
      <c r="E156" s="4" t="s">
        <v>16</v>
      </c>
      <c r="F156" s="9" t="s">
        <v>10</v>
      </c>
      <c r="G156" s="10">
        <v>301.10000000000002</v>
      </c>
      <c r="H156" s="11">
        <v>336.46</v>
      </c>
      <c r="I156" s="10">
        <v>294.51</v>
      </c>
      <c r="J156" s="10">
        <f>AVERAGE(Table5[[#This Row],[23 Pts]:[25 Proj]])</f>
        <v>310.69</v>
      </c>
      <c r="K156" s="32">
        <f>Table5[[#This Row],[Avg]]/17</f>
        <v>18.275882352941178</v>
      </c>
      <c r="L156" s="9" t="s">
        <v>157</v>
      </c>
      <c r="M156">
        <v>112</v>
      </c>
      <c r="N156">
        <v>10</v>
      </c>
    </row>
    <row r="157" spans="2:14" x14ac:dyDescent="0.35">
      <c r="B157" s="8">
        <v>155</v>
      </c>
      <c r="C157" s="8">
        <v>13</v>
      </c>
      <c r="D157" s="47" t="s">
        <v>233</v>
      </c>
      <c r="E157" s="4" t="s">
        <v>14</v>
      </c>
      <c r="F157" s="9" t="s">
        <v>424</v>
      </c>
      <c r="G157" s="10">
        <v>177.1</v>
      </c>
      <c r="H157" s="11">
        <v>104.4</v>
      </c>
      <c r="I157" s="10">
        <v>145.19999999999999</v>
      </c>
      <c r="J157" s="10">
        <f>AVERAGE(Table5[[#This Row],[23 Pts]:[25 Proj]])</f>
        <v>142.23333333333332</v>
      </c>
      <c r="K157" s="32">
        <f>Table5[[#This Row],[Avg]]/17</f>
        <v>8.3666666666666654</v>
      </c>
      <c r="L157" s="9" t="s">
        <v>157</v>
      </c>
      <c r="M157">
        <v>129</v>
      </c>
      <c r="N157">
        <v>11</v>
      </c>
    </row>
    <row r="158" spans="2:14" x14ac:dyDescent="0.35">
      <c r="B158" s="8">
        <v>120</v>
      </c>
      <c r="C158" s="8">
        <v>2</v>
      </c>
      <c r="D158" s="47" t="s">
        <v>304</v>
      </c>
      <c r="E158" s="4" t="s">
        <v>79</v>
      </c>
      <c r="F158" s="9" t="s">
        <v>117</v>
      </c>
      <c r="G158" s="10">
        <v>151</v>
      </c>
      <c r="H158" s="11">
        <v>179</v>
      </c>
      <c r="I158" s="10">
        <v>153</v>
      </c>
      <c r="J158" s="10">
        <f>AVERAGE(Table5[[#This Row],[23 Pts]:[25 Proj]])</f>
        <v>161</v>
      </c>
      <c r="K158" s="32">
        <f>Table5[[#This Row],[Avg]]/17</f>
        <v>9.4705882352941178</v>
      </c>
      <c r="L158" s="9" t="s">
        <v>157</v>
      </c>
      <c r="M158">
        <v>136</v>
      </c>
      <c r="N158">
        <v>12</v>
      </c>
    </row>
    <row r="159" spans="2:14" x14ac:dyDescent="0.35">
      <c r="B159" s="8">
        <v>91</v>
      </c>
      <c r="C159" s="8">
        <v>23</v>
      </c>
      <c r="D159" s="47" t="s">
        <v>41</v>
      </c>
      <c r="E159" s="4" t="s">
        <v>42</v>
      </c>
      <c r="F159" s="9" t="s">
        <v>24</v>
      </c>
      <c r="G159" s="10">
        <v>267.89999999999998</v>
      </c>
      <c r="H159" s="11">
        <v>199.6</v>
      </c>
      <c r="I159" s="10">
        <v>106.6</v>
      </c>
      <c r="J159" s="10">
        <f>AVERAGE(Table5[[#This Row],[23 Pts]:[25 Proj]])</f>
        <v>191.36666666666667</v>
      </c>
      <c r="K159" s="32">
        <f>Table5[[#This Row],[Avg]]/17</f>
        <v>11.25686274509804</v>
      </c>
      <c r="L159" s="9" t="s">
        <v>157</v>
      </c>
      <c r="M159">
        <v>153</v>
      </c>
      <c r="N159">
        <v>13</v>
      </c>
    </row>
    <row r="160" spans="2:14" x14ac:dyDescent="0.35">
      <c r="B160" s="8">
        <v>210</v>
      </c>
      <c r="C160" s="8">
        <v>11</v>
      </c>
      <c r="D160" s="47" t="s">
        <v>279</v>
      </c>
      <c r="E160" s="4" t="s">
        <v>16</v>
      </c>
      <c r="F160" s="9" t="s">
        <v>1</v>
      </c>
      <c r="G160" s="10">
        <v>109</v>
      </c>
      <c r="H160" s="11">
        <v>128</v>
      </c>
      <c r="I160" s="10">
        <v>117</v>
      </c>
      <c r="J160" s="10">
        <f>AVERAGE(Table5[[#This Row],[23 Pts]:[25 Proj]])</f>
        <v>118</v>
      </c>
      <c r="K160" s="32">
        <f>Table5[[#This Row],[Avg]]/17</f>
        <v>6.9411764705882355</v>
      </c>
      <c r="L160" s="9" t="s">
        <v>157</v>
      </c>
      <c r="M160">
        <v>160</v>
      </c>
      <c r="N160">
        <v>14</v>
      </c>
    </row>
    <row r="161" spans="2:14" x14ac:dyDescent="0.35">
      <c r="B161" s="8">
        <v>364</v>
      </c>
      <c r="C161" s="8">
        <v>50</v>
      </c>
      <c r="D161" s="5" t="s">
        <v>432</v>
      </c>
      <c r="E161" s="4" t="s">
        <v>12</v>
      </c>
      <c r="F161" s="9" t="s">
        <v>10</v>
      </c>
      <c r="G161" s="10" t="s">
        <v>60</v>
      </c>
      <c r="H161" s="11">
        <v>2.68</v>
      </c>
      <c r="I161" s="10">
        <v>12.54</v>
      </c>
      <c r="J161" s="10">
        <f>AVERAGE(Table5[[#This Row],[23 Pts]:[25 Proj]])</f>
        <v>7.6099999999999994</v>
      </c>
      <c r="K161" s="32">
        <f>Table5[[#This Row],[Avg]]/17</f>
        <v>0.4476470588235294</v>
      </c>
      <c r="L161" s="9" t="s">
        <v>157</v>
      </c>
      <c r="M161">
        <v>177</v>
      </c>
      <c r="N161">
        <v>15</v>
      </c>
    </row>
    <row r="162" spans="2:14" x14ac:dyDescent="0.35">
      <c r="B162" s="8">
        <v>1</v>
      </c>
      <c r="C162" s="8">
        <v>1</v>
      </c>
      <c r="D162" s="39" t="s">
        <v>8</v>
      </c>
      <c r="E162" s="4" t="s">
        <v>9</v>
      </c>
      <c r="F162" s="9" t="s">
        <v>10</v>
      </c>
      <c r="G162" s="10">
        <v>410.64</v>
      </c>
      <c r="H162" s="11">
        <v>385.04</v>
      </c>
      <c r="I162" s="10">
        <v>359.06</v>
      </c>
      <c r="J162" s="10">
        <f>AVERAGE(Table5[[#This Row],[23 Pts]:[25 Proj]])</f>
        <v>384.91333333333336</v>
      </c>
      <c r="K162" s="32">
        <f>Table5[[#This Row],[Avg]]/17</f>
        <v>22.641960784313728</v>
      </c>
      <c r="L162" s="9" t="s">
        <v>157</v>
      </c>
      <c r="M162">
        <v>184</v>
      </c>
      <c r="N162">
        <v>16</v>
      </c>
    </row>
    <row r="163" spans="2:14" x14ac:dyDescent="0.35">
      <c r="B163" s="8">
        <v>42</v>
      </c>
      <c r="C163" s="8">
        <v>9</v>
      </c>
      <c r="D163" s="47" t="s">
        <v>135</v>
      </c>
      <c r="E163" s="4" t="s">
        <v>42</v>
      </c>
      <c r="F163" s="9" t="s">
        <v>24</v>
      </c>
      <c r="G163" s="10" t="s">
        <v>60</v>
      </c>
      <c r="H163" s="11">
        <v>244.4</v>
      </c>
      <c r="I163" s="10">
        <v>249.9</v>
      </c>
      <c r="J163" s="10">
        <f>AVERAGE(Table5[[#This Row],[23 Pts]:[25 Proj]])</f>
        <v>247.15</v>
      </c>
      <c r="K163" s="32">
        <f>Table5[[#This Row],[Avg]]/17</f>
        <v>14.538235294117648</v>
      </c>
      <c r="L163" s="9" t="s">
        <v>145</v>
      </c>
      <c r="M163">
        <v>8</v>
      </c>
      <c r="N163">
        <v>1</v>
      </c>
    </row>
    <row r="164" spans="2:14" x14ac:dyDescent="0.35">
      <c r="B164" s="8">
        <v>60</v>
      </c>
      <c r="C164" s="8">
        <v>16</v>
      </c>
      <c r="D164" s="47" t="s">
        <v>178</v>
      </c>
      <c r="E164" s="4" t="s">
        <v>79</v>
      </c>
      <c r="F164" s="9" t="s">
        <v>24</v>
      </c>
      <c r="G164" s="10" t="s">
        <v>60</v>
      </c>
      <c r="H164" s="11" t="s">
        <v>60</v>
      </c>
      <c r="I164" s="10">
        <v>216.4</v>
      </c>
      <c r="J164" s="10">
        <f>AVERAGE(Table5[[#This Row],[23 Pts]:[25 Proj]])</f>
        <v>216.4</v>
      </c>
      <c r="K164" s="32">
        <f>Table5[[#This Row],[Avg]]/17</f>
        <v>12.729411764705883</v>
      </c>
      <c r="L164" s="9" t="s">
        <v>145</v>
      </c>
      <c r="M164">
        <v>17</v>
      </c>
      <c r="N164">
        <v>2</v>
      </c>
    </row>
    <row r="165" spans="2:14" x14ac:dyDescent="0.35">
      <c r="B165" s="8">
        <v>59</v>
      </c>
      <c r="C165" s="8">
        <v>15</v>
      </c>
      <c r="D165" s="47" t="s">
        <v>95</v>
      </c>
      <c r="E165" s="4" t="s">
        <v>46</v>
      </c>
      <c r="F165" s="9" t="s">
        <v>24</v>
      </c>
      <c r="G165" s="10">
        <v>201.5</v>
      </c>
      <c r="H165" s="11">
        <v>253.8</v>
      </c>
      <c r="I165" s="10">
        <v>211</v>
      </c>
      <c r="J165" s="10">
        <f>AVERAGE(Table5[[#This Row],[23 Pts]:[25 Proj]])</f>
        <v>222.1</v>
      </c>
      <c r="K165" s="32">
        <f>Table5[[#This Row],[Avg]]/17</f>
        <v>13.064705882352941</v>
      </c>
      <c r="L165" s="9" t="s">
        <v>145</v>
      </c>
      <c r="M165">
        <v>32</v>
      </c>
      <c r="N165">
        <v>3</v>
      </c>
    </row>
    <row r="166" spans="2:14" x14ac:dyDescent="0.35">
      <c r="B166" s="8">
        <v>81</v>
      </c>
      <c r="C166" s="8">
        <v>28</v>
      </c>
      <c r="D166" s="47" t="s">
        <v>350</v>
      </c>
      <c r="E166" s="4" t="s">
        <v>22</v>
      </c>
      <c r="F166" s="9" t="s">
        <v>35</v>
      </c>
      <c r="G166" s="10" t="s">
        <v>60</v>
      </c>
      <c r="H166" s="11">
        <v>187.2</v>
      </c>
      <c r="I166" s="10">
        <v>207.2</v>
      </c>
      <c r="J166" s="10">
        <f>AVERAGE(Table5[[#This Row],[23 Pts]:[25 Proj]])</f>
        <v>197.2</v>
      </c>
      <c r="K166" s="32">
        <f>Table5[[#This Row],[Avg]]/17</f>
        <v>11.6</v>
      </c>
      <c r="L166" s="9" t="s">
        <v>145</v>
      </c>
      <c r="M166">
        <v>41</v>
      </c>
      <c r="N166">
        <v>4</v>
      </c>
    </row>
    <row r="167" spans="2:14" x14ac:dyDescent="0.35">
      <c r="B167" s="8">
        <v>193</v>
      </c>
      <c r="C167" s="8">
        <v>18</v>
      </c>
      <c r="D167" s="47" t="s">
        <v>235</v>
      </c>
      <c r="E167" s="4" t="s">
        <v>40</v>
      </c>
      <c r="F167" s="9" t="s">
        <v>424</v>
      </c>
      <c r="G167" s="10">
        <v>78.5</v>
      </c>
      <c r="H167" s="11">
        <v>163.30000000000001</v>
      </c>
      <c r="I167" s="10">
        <v>137.6</v>
      </c>
      <c r="J167" s="10">
        <f>AVERAGE(Table5[[#This Row],[23 Pts]:[25 Proj]])</f>
        <v>126.46666666666665</v>
      </c>
      <c r="K167" s="32">
        <f>Table5[[#This Row],[Avg]]/17</f>
        <v>7.4392156862745091</v>
      </c>
      <c r="L167" s="9" t="s">
        <v>145</v>
      </c>
      <c r="M167">
        <v>56</v>
      </c>
      <c r="N167">
        <v>5</v>
      </c>
    </row>
    <row r="168" spans="2:14" x14ac:dyDescent="0.35">
      <c r="B168" s="8">
        <v>127</v>
      </c>
      <c r="C168" s="8">
        <v>52</v>
      </c>
      <c r="D168" s="47" t="s">
        <v>379</v>
      </c>
      <c r="E168" s="4" t="s">
        <v>42</v>
      </c>
      <c r="F168" s="9" t="s">
        <v>35</v>
      </c>
      <c r="G168" s="10" t="s">
        <v>60</v>
      </c>
      <c r="H168" s="11" t="s">
        <v>60</v>
      </c>
      <c r="I168" s="10">
        <v>155.69999999999999</v>
      </c>
      <c r="J168" s="10">
        <f>AVERAGE(Table5[[#This Row],[23 Pts]:[25 Proj]])</f>
        <v>155.69999999999999</v>
      </c>
      <c r="K168" s="32">
        <f>Table5[[#This Row],[Avg]]/17</f>
        <v>9.1588235294117641</v>
      </c>
      <c r="L168" s="9" t="s">
        <v>145</v>
      </c>
      <c r="M168">
        <v>65</v>
      </c>
      <c r="N168">
        <v>6</v>
      </c>
    </row>
    <row r="169" spans="2:14" x14ac:dyDescent="0.35">
      <c r="B169" s="8">
        <v>34</v>
      </c>
      <c r="C169" s="8">
        <v>20</v>
      </c>
      <c r="D169" s="47" t="s">
        <v>96</v>
      </c>
      <c r="E169" s="4" t="s">
        <v>46</v>
      </c>
      <c r="F169" s="9" t="s">
        <v>10</v>
      </c>
      <c r="G169" s="10">
        <v>151.36000000000001</v>
      </c>
      <c r="H169" s="11">
        <v>308.24</v>
      </c>
      <c r="I169" s="10">
        <v>293.41000000000003</v>
      </c>
      <c r="J169" s="10">
        <f>AVERAGE(Table5[[#This Row],[23 Pts]:[25 Proj]])</f>
        <v>251.00333333333333</v>
      </c>
      <c r="K169" s="32">
        <f>Table5[[#This Row],[Avg]]/17</f>
        <v>14.764901960784314</v>
      </c>
      <c r="L169" s="9" t="s">
        <v>145</v>
      </c>
      <c r="M169">
        <v>80</v>
      </c>
      <c r="N169">
        <v>7</v>
      </c>
    </row>
    <row r="170" spans="2:14" x14ac:dyDescent="0.35">
      <c r="B170" s="8">
        <v>156</v>
      </c>
      <c r="C170" s="8">
        <v>40</v>
      </c>
      <c r="D170" s="47" t="s">
        <v>122</v>
      </c>
      <c r="E170" s="4" t="s">
        <v>85</v>
      </c>
      <c r="F170" s="9" t="s">
        <v>24</v>
      </c>
      <c r="G170" s="10">
        <v>106.1</v>
      </c>
      <c r="H170" s="11">
        <v>186.9</v>
      </c>
      <c r="I170" s="10">
        <v>129.9</v>
      </c>
      <c r="J170" s="10">
        <f>AVERAGE(Table5[[#This Row],[23 Pts]:[25 Proj]])</f>
        <v>140.96666666666667</v>
      </c>
      <c r="K170" s="32">
        <f>Table5[[#This Row],[Avg]]/17</f>
        <v>8.2921568627450988</v>
      </c>
      <c r="L170" s="9" t="s">
        <v>145</v>
      </c>
      <c r="M170">
        <v>89</v>
      </c>
      <c r="N170">
        <v>8</v>
      </c>
    </row>
    <row r="171" spans="2:14" x14ac:dyDescent="0.35">
      <c r="B171" s="8">
        <v>123</v>
      </c>
      <c r="C171" s="8">
        <v>49</v>
      </c>
      <c r="D171" s="47" t="s">
        <v>72</v>
      </c>
      <c r="E171" s="4" t="s">
        <v>12</v>
      </c>
      <c r="F171" s="9" t="s">
        <v>35</v>
      </c>
      <c r="G171" s="10">
        <v>249.2</v>
      </c>
      <c r="H171" s="11">
        <v>62.4</v>
      </c>
      <c r="I171" s="10">
        <v>160.30000000000001</v>
      </c>
      <c r="J171" s="10">
        <f>AVERAGE(Table5[[#This Row],[23 Pts]:[25 Proj]])</f>
        <v>157.29999999999998</v>
      </c>
      <c r="K171" s="32">
        <f>Table5[[#This Row],[Avg]]/17</f>
        <v>9.2529411764705873</v>
      </c>
      <c r="L171" s="9" t="s">
        <v>145</v>
      </c>
      <c r="M171">
        <v>104</v>
      </c>
      <c r="N171">
        <v>9</v>
      </c>
    </row>
    <row r="172" spans="2:14" x14ac:dyDescent="0.35">
      <c r="B172" s="8">
        <v>186</v>
      </c>
      <c r="C172" s="8">
        <v>43</v>
      </c>
      <c r="D172" s="47" t="s">
        <v>118</v>
      </c>
      <c r="E172" s="4" t="s">
        <v>81</v>
      </c>
      <c r="F172" s="9" t="s">
        <v>24</v>
      </c>
      <c r="G172" s="10">
        <v>153.80000000000001</v>
      </c>
      <c r="H172" s="11">
        <v>113.6</v>
      </c>
      <c r="I172" s="10">
        <v>121.3</v>
      </c>
      <c r="J172" s="10">
        <f>AVERAGE(Table5[[#This Row],[23 Pts]:[25 Proj]])</f>
        <v>129.56666666666666</v>
      </c>
      <c r="K172" s="32">
        <f>Table5[[#This Row],[Avg]]/17</f>
        <v>7.62156862745098</v>
      </c>
      <c r="L172" s="9" t="s">
        <v>145</v>
      </c>
      <c r="M172">
        <v>113</v>
      </c>
      <c r="N172">
        <v>10</v>
      </c>
    </row>
    <row r="173" spans="2:14" x14ac:dyDescent="0.35">
      <c r="B173" s="8">
        <v>190</v>
      </c>
      <c r="C173" s="8">
        <v>16</v>
      </c>
      <c r="D173" s="47" t="s">
        <v>236</v>
      </c>
      <c r="E173" s="4" t="s">
        <v>9</v>
      </c>
      <c r="F173" s="9" t="s">
        <v>424</v>
      </c>
      <c r="G173" s="10">
        <v>150.30000000000001</v>
      </c>
      <c r="H173" s="11">
        <v>100.8</v>
      </c>
      <c r="I173" s="10">
        <v>132.5</v>
      </c>
      <c r="J173" s="10">
        <f>AVERAGE(Table5[[#This Row],[23 Pts]:[25 Proj]])</f>
        <v>127.86666666666667</v>
      </c>
      <c r="K173" s="32">
        <f>Table5[[#This Row],[Avg]]/17</f>
        <v>7.5215686274509812</v>
      </c>
      <c r="L173" s="9" t="s">
        <v>145</v>
      </c>
      <c r="M173">
        <v>128</v>
      </c>
      <c r="N173">
        <v>11</v>
      </c>
    </row>
    <row r="174" spans="2:14" x14ac:dyDescent="0.35">
      <c r="B174" s="8">
        <v>109</v>
      </c>
      <c r="C174" s="8">
        <v>43</v>
      </c>
      <c r="D174" s="47" t="s">
        <v>374</v>
      </c>
      <c r="E174" s="4" t="s">
        <v>48</v>
      </c>
      <c r="F174" s="9" t="s">
        <v>35</v>
      </c>
      <c r="G174" s="10" t="s">
        <v>60</v>
      </c>
      <c r="H174" s="11" t="s">
        <v>60</v>
      </c>
      <c r="I174" s="10">
        <v>169.7</v>
      </c>
      <c r="J174" s="10">
        <f>AVERAGE(Table5[[#This Row],[23 Pts]:[25 Proj]])</f>
        <v>169.7</v>
      </c>
      <c r="K174" s="32">
        <f>Table5[[#This Row],[Avg]]/17</f>
        <v>9.9823529411764707</v>
      </c>
      <c r="L174" s="9" t="s">
        <v>145</v>
      </c>
      <c r="M174">
        <v>137</v>
      </c>
      <c r="N174">
        <v>12</v>
      </c>
    </row>
    <row r="175" spans="2:14" x14ac:dyDescent="0.35">
      <c r="B175" s="8">
        <v>217</v>
      </c>
      <c r="C175" s="8">
        <v>76</v>
      </c>
      <c r="D175" s="47" t="s">
        <v>402</v>
      </c>
      <c r="E175" s="4" t="s">
        <v>104</v>
      </c>
      <c r="F175" s="9" t="s">
        <v>35</v>
      </c>
      <c r="G175" s="10" t="s">
        <v>60</v>
      </c>
      <c r="H175" s="11">
        <v>125.1</v>
      </c>
      <c r="I175" s="10">
        <v>102.4</v>
      </c>
      <c r="J175" s="10">
        <f>AVERAGE(Table5[[#This Row],[23 Pts]:[25 Proj]])</f>
        <v>113.75</v>
      </c>
      <c r="K175" s="32">
        <f>Table5[[#This Row],[Avg]]/17</f>
        <v>6.6911764705882355</v>
      </c>
      <c r="L175" s="9" t="s">
        <v>145</v>
      </c>
      <c r="M175">
        <v>152</v>
      </c>
      <c r="N175">
        <v>13</v>
      </c>
    </row>
    <row r="176" spans="2:14" x14ac:dyDescent="0.35">
      <c r="B176" s="8">
        <v>229</v>
      </c>
      <c r="C176" s="8">
        <v>18</v>
      </c>
      <c r="D176" s="47" t="s">
        <v>283</v>
      </c>
      <c r="E176" s="4" t="s">
        <v>12</v>
      </c>
      <c r="F176" s="9" t="s">
        <v>1</v>
      </c>
      <c r="G176" s="10">
        <v>141</v>
      </c>
      <c r="H176" s="11">
        <v>109</v>
      </c>
      <c r="I176" s="10">
        <v>84</v>
      </c>
      <c r="J176" s="10">
        <f>AVERAGE(Table5[[#This Row],[23 Pts]:[25 Proj]])</f>
        <v>111.33333333333333</v>
      </c>
      <c r="K176" s="32">
        <f>Table5[[#This Row],[Avg]]/17</f>
        <v>6.5490196078431371</v>
      </c>
      <c r="L176" s="9" t="s">
        <v>145</v>
      </c>
      <c r="M176">
        <v>161</v>
      </c>
      <c r="N176">
        <v>14</v>
      </c>
    </row>
    <row r="177" spans="2:14" x14ac:dyDescent="0.35">
      <c r="B177" s="8">
        <v>180</v>
      </c>
      <c r="C177" s="8">
        <v>20</v>
      </c>
      <c r="D177" s="47" t="s">
        <v>320</v>
      </c>
      <c r="E177" s="4" t="s">
        <v>31</v>
      </c>
      <c r="F177" s="9" t="s">
        <v>117</v>
      </c>
      <c r="G177" s="10">
        <v>138</v>
      </c>
      <c r="H177" s="11">
        <v>120</v>
      </c>
      <c r="I177" s="10">
        <v>137</v>
      </c>
      <c r="J177" s="10">
        <f>AVERAGE(Table5[[#This Row],[23 Pts]:[25 Proj]])</f>
        <v>131.66666666666666</v>
      </c>
      <c r="K177" s="32">
        <f>Table5[[#This Row],[Avg]]/17</f>
        <v>7.7450980392156854</v>
      </c>
      <c r="L177" s="9" t="s">
        <v>145</v>
      </c>
      <c r="M177">
        <v>176</v>
      </c>
      <c r="N177">
        <v>15</v>
      </c>
    </row>
    <row r="178" spans="2:14" x14ac:dyDescent="0.35">
      <c r="B178" s="8">
        <v>10</v>
      </c>
      <c r="C178" s="8">
        <v>3</v>
      </c>
      <c r="D178" s="39" t="s">
        <v>28</v>
      </c>
      <c r="E178" s="4" t="s">
        <v>16</v>
      </c>
      <c r="F178" s="9" t="s">
        <v>35</v>
      </c>
      <c r="G178" s="10">
        <v>330.9</v>
      </c>
      <c r="H178" s="11">
        <v>316.18</v>
      </c>
      <c r="I178" s="10">
        <v>271.3</v>
      </c>
      <c r="J178" s="10">
        <f>AVERAGE(Table5[[#This Row],[23 Pts]:[25 Proj]])</f>
        <v>306.12666666666661</v>
      </c>
      <c r="K178" s="32">
        <f>Table5[[#This Row],[Avg]]/17</f>
        <v>18.007450980392154</v>
      </c>
      <c r="L178" s="9" t="s">
        <v>145</v>
      </c>
      <c r="M178">
        <v>185</v>
      </c>
      <c r="N178">
        <v>16</v>
      </c>
    </row>
    <row r="179" spans="2:14" x14ac:dyDescent="0.35">
      <c r="B179" s="8">
        <v>41</v>
      </c>
      <c r="C179" s="8">
        <v>11</v>
      </c>
      <c r="D179" s="47" t="s">
        <v>336</v>
      </c>
      <c r="E179" s="4" t="s">
        <v>48</v>
      </c>
      <c r="F179" s="9" t="s">
        <v>35</v>
      </c>
      <c r="G179" s="10">
        <v>260.39999999999998</v>
      </c>
      <c r="H179" s="11">
        <v>210.6</v>
      </c>
      <c r="I179" s="10">
        <v>273.10000000000002</v>
      </c>
      <c r="J179" s="10">
        <f>AVERAGE(Table5[[#This Row],[23 Pts]:[25 Proj]])</f>
        <v>248.03333333333333</v>
      </c>
      <c r="K179" s="32">
        <f>Table5[[#This Row],[Avg]]/17</f>
        <v>14.590196078431372</v>
      </c>
      <c r="L179" s="9" t="s">
        <v>147</v>
      </c>
      <c r="M179">
        <v>4</v>
      </c>
      <c r="N179">
        <v>1</v>
      </c>
    </row>
    <row r="180" spans="2:14" x14ac:dyDescent="0.35">
      <c r="B180" s="8">
        <v>63</v>
      </c>
      <c r="C180" s="8">
        <v>3</v>
      </c>
      <c r="D180" s="47" t="s">
        <v>33</v>
      </c>
      <c r="E180" s="4" t="s">
        <v>12</v>
      </c>
      <c r="F180" s="9" t="s">
        <v>424</v>
      </c>
      <c r="G180" s="10">
        <v>203.2</v>
      </c>
      <c r="H180" s="11">
        <v>236.6</v>
      </c>
      <c r="I180" s="10">
        <v>207</v>
      </c>
      <c r="J180" s="10">
        <f>AVERAGE(Table5[[#This Row],[23 Pts]:[25 Proj]])</f>
        <v>215.6</v>
      </c>
      <c r="K180" s="32">
        <f>Table5[[#This Row],[Avg]]/17</f>
        <v>12.68235294117647</v>
      </c>
      <c r="L180" s="9" t="s">
        <v>147</v>
      </c>
      <c r="M180">
        <v>21</v>
      </c>
      <c r="N180">
        <v>2</v>
      </c>
    </row>
    <row r="181" spans="2:14" x14ac:dyDescent="0.35">
      <c r="B181" s="8">
        <v>44</v>
      </c>
      <c r="C181" s="8">
        <v>10</v>
      </c>
      <c r="D181" s="47" t="s">
        <v>69</v>
      </c>
      <c r="E181" s="4" t="s">
        <v>9</v>
      </c>
      <c r="F181" s="9" t="s">
        <v>24</v>
      </c>
      <c r="G181" s="10">
        <v>232.7</v>
      </c>
      <c r="H181" s="11">
        <v>266.7</v>
      </c>
      <c r="I181" s="10">
        <v>225.1</v>
      </c>
      <c r="J181" s="10">
        <f>AVERAGE(Table5[[#This Row],[23 Pts]:[25 Proj]])</f>
        <v>241.5</v>
      </c>
      <c r="K181" s="32">
        <f>Table5[[#This Row],[Avg]]/17</f>
        <v>14.205882352941176</v>
      </c>
      <c r="L181" s="9" t="s">
        <v>147</v>
      </c>
      <c r="M181">
        <v>28</v>
      </c>
      <c r="N181">
        <v>3</v>
      </c>
    </row>
    <row r="182" spans="2:14" x14ac:dyDescent="0.35">
      <c r="B182" s="8">
        <v>16</v>
      </c>
      <c r="C182" s="8">
        <v>10</v>
      </c>
      <c r="D182" s="47" t="s">
        <v>98</v>
      </c>
      <c r="E182" s="4" t="s">
        <v>44</v>
      </c>
      <c r="F182" s="9" t="s">
        <v>10</v>
      </c>
      <c r="G182" s="10">
        <v>153.16</v>
      </c>
      <c r="H182" s="11">
        <v>381.82</v>
      </c>
      <c r="I182" s="10">
        <v>325.93</v>
      </c>
      <c r="J182" s="10">
        <f>AVERAGE(Table5[[#This Row],[23 Pts]:[25 Proj]])</f>
        <v>286.97000000000003</v>
      </c>
      <c r="K182" s="32">
        <f>Table5[[#This Row],[Avg]]/17</f>
        <v>16.88058823529412</v>
      </c>
      <c r="L182" s="9" t="s">
        <v>147</v>
      </c>
      <c r="M182">
        <v>45</v>
      </c>
      <c r="N182">
        <v>4</v>
      </c>
    </row>
    <row r="183" spans="2:14" x14ac:dyDescent="0.35">
      <c r="B183" s="8">
        <v>117</v>
      </c>
      <c r="C183" s="8">
        <v>46</v>
      </c>
      <c r="D183" s="47" t="s">
        <v>105</v>
      </c>
      <c r="E183" s="4" t="s">
        <v>16</v>
      </c>
      <c r="F183" s="9" t="s">
        <v>35</v>
      </c>
      <c r="G183" s="10">
        <v>80.3</v>
      </c>
      <c r="H183" s="11">
        <v>212.2</v>
      </c>
      <c r="I183" s="10">
        <v>200.4</v>
      </c>
      <c r="J183" s="10">
        <f>AVERAGE(Table5[[#This Row],[23 Pts]:[25 Proj]])</f>
        <v>164.29999999999998</v>
      </c>
      <c r="K183" s="32">
        <f>Table5[[#This Row],[Avg]]/17</f>
        <v>9.6647058823529406</v>
      </c>
      <c r="L183" s="9" t="s">
        <v>147</v>
      </c>
      <c r="M183">
        <v>52</v>
      </c>
      <c r="N183">
        <v>5</v>
      </c>
    </row>
    <row r="184" spans="2:14" x14ac:dyDescent="0.35">
      <c r="B184" s="8">
        <v>112</v>
      </c>
      <c r="C184" s="8">
        <v>44</v>
      </c>
      <c r="D184" s="47" t="s">
        <v>361</v>
      </c>
      <c r="E184" s="4" t="s">
        <v>55</v>
      </c>
      <c r="F184" s="9" t="s">
        <v>35</v>
      </c>
      <c r="G184" s="10" t="s">
        <v>60</v>
      </c>
      <c r="H184" s="11">
        <v>144.9</v>
      </c>
      <c r="I184" s="10">
        <v>192.1</v>
      </c>
      <c r="J184" s="10">
        <f>AVERAGE(Table5[[#This Row],[23 Pts]:[25 Proj]])</f>
        <v>168.5</v>
      </c>
      <c r="K184" s="32">
        <f>Table5[[#This Row],[Avg]]/17</f>
        <v>9.9117647058823533</v>
      </c>
      <c r="L184" s="9" t="s">
        <v>147</v>
      </c>
      <c r="M184">
        <v>69</v>
      </c>
      <c r="N184">
        <v>6</v>
      </c>
    </row>
    <row r="185" spans="2:14" x14ac:dyDescent="0.35">
      <c r="B185" s="8">
        <v>255</v>
      </c>
      <c r="C185" s="8">
        <v>55</v>
      </c>
      <c r="D185" s="47" t="s">
        <v>137</v>
      </c>
      <c r="E185" s="4" t="s">
        <v>51</v>
      </c>
      <c r="F185" s="9" t="s">
        <v>24</v>
      </c>
      <c r="G185" s="10">
        <v>44.7</v>
      </c>
      <c r="H185" s="11">
        <v>115</v>
      </c>
      <c r="I185" s="10">
        <v>138.6</v>
      </c>
      <c r="J185" s="10">
        <f>AVERAGE(Table5[[#This Row],[23 Pts]:[25 Proj]])</f>
        <v>99.433333333333323</v>
      </c>
      <c r="K185" s="32">
        <f>Table5[[#This Row],[Avg]]/17</f>
        <v>5.8490196078431369</v>
      </c>
      <c r="L185" s="9" t="s">
        <v>147</v>
      </c>
      <c r="M185">
        <v>76</v>
      </c>
      <c r="N185">
        <v>7</v>
      </c>
    </row>
    <row r="186" spans="2:14" x14ac:dyDescent="0.35">
      <c r="B186" s="8">
        <v>132</v>
      </c>
      <c r="C186" s="8">
        <v>35</v>
      </c>
      <c r="D186" s="47" t="s">
        <v>115</v>
      </c>
      <c r="E186" s="4" t="s">
        <v>83</v>
      </c>
      <c r="F186" s="9" t="s">
        <v>24</v>
      </c>
      <c r="G186" s="10">
        <v>145.69999999999999</v>
      </c>
      <c r="H186" s="11">
        <v>175.9</v>
      </c>
      <c r="I186" s="10">
        <v>132.4</v>
      </c>
      <c r="J186" s="10">
        <f>AVERAGE(Table5[[#This Row],[23 Pts]:[25 Proj]])</f>
        <v>151.33333333333334</v>
      </c>
      <c r="K186" s="32">
        <f>Table5[[#This Row],[Avg]]/17</f>
        <v>8.9019607843137258</v>
      </c>
      <c r="L186" s="9" t="s">
        <v>147</v>
      </c>
      <c r="M186">
        <v>93</v>
      </c>
      <c r="N186">
        <v>8</v>
      </c>
    </row>
    <row r="187" spans="2:14" x14ac:dyDescent="0.35">
      <c r="B187" s="8">
        <v>138</v>
      </c>
      <c r="C187" s="8">
        <v>37</v>
      </c>
      <c r="D187" s="47" t="s">
        <v>105</v>
      </c>
      <c r="E187" s="4" t="s">
        <v>14</v>
      </c>
      <c r="F187" s="9" t="s">
        <v>24</v>
      </c>
      <c r="G187" s="10">
        <v>179.2</v>
      </c>
      <c r="H187" s="11">
        <v>157.9</v>
      </c>
      <c r="I187" s="10">
        <v>106.5</v>
      </c>
      <c r="J187" s="10">
        <f>AVERAGE(Table5[[#This Row],[23 Pts]:[25 Proj]])</f>
        <v>147.86666666666667</v>
      </c>
      <c r="K187" s="32">
        <f>Table5[[#This Row],[Avg]]/17</f>
        <v>8.6980392156862756</v>
      </c>
      <c r="L187" s="9" t="s">
        <v>147</v>
      </c>
      <c r="M187">
        <v>100</v>
      </c>
      <c r="N187">
        <v>9</v>
      </c>
    </row>
    <row r="188" spans="2:14" x14ac:dyDescent="0.35">
      <c r="B188" s="8">
        <v>103</v>
      </c>
      <c r="C188" s="8">
        <v>39</v>
      </c>
      <c r="D188" s="47" t="s">
        <v>363</v>
      </c>
      <c r="E188" s="4" t="s">
        <v>42</v>
      </c>
      <c r="F188" s="9" t="s">
        <v>35</v>
      </c>
      <c r="G188" s="10">
        <v>209.2</v>
      </c>
      <c r="H188" s="11">
        <v>137.80000000000001</v>
      </c>
      <c r="I188" s="10">
        <v>185.5</v>
      </c>
      <c r="J188" s="10">
        <f>AVERAGE(Table5[[#This Row],[23 Pts]:[25 Proj]])</f>
        <v>177.5</v>
      </c>
      <c r="K188" s="32">
        <f>Table5[[#This Row],[Avg]]/17</f>
        <v>10.441176470588236</v>
      </c>
      <c r="L188" s="9" t="s">
        <v>147</v>
      </c>
      <c r="M188">
        <v>117</v>
      </c>
      <c r="N188">
        <v>10</v>
      </c>
    </row>
    <row r="189" spans="2:14" x14ac:dyDescent="0.35">
      <c r="B189" s="8">
        <v>147</v>
      </c>
      <c r="C189" s="8">
        <v>2</v>
      </c>
      <c r="D189" s="47" t="s">
        <v>272</v>
      </c>
      <c r="E189" s="4" t="s">
        <v>23</v>
      </c>
      <c r="F189" s="9" t="s">
        <v>1</v>
      </c>
      <c r="G189" s="10">
        <v>174</v>
      </c>
      <c r="H189" s="11">
        <v>142</v>
      </c>
      <c r="I189" s="10">
        <v>120</v>
      </c>
      <c r="J189" s="10">
        <f>AVERAGE(Table5[[#This Row],[23 Pts]:[25 Proj]])</f>
        <v>145.33333333333334</v>
      </c>
      <c r="K189" s="32">
        <f>Table5[[#This Row],[Avg]]/17</f>
        <v>8.5490196078431371</v>
      </c>
      <c r="L189" s="9" t="s">
        <v>147</v>
      </c>
      <c r="M189">
        <v>124</v>
      </c>
      <c r="N189">
        <v>11</v>
      </c>
    </row>
    <row r="190" spans="2:14" x14ac:dyDescent="0.35">
      <c r="B190" s="8">
        <v>129</v>
      </c>
      <c r="C190" s="8">
        <v>4</v>
      </c>
      <c r="D190" s="47" t="s">
        <v>305</v>
      </c>
      <c r="E190" s="4" t="s">
        <v>16</v>
      </c>
      <c r="F190" s="9" t="s">
        <v>117</v>
      </c>
      <c r="G190" s="10" t="s">
        <v>60</v>
      </c>
      <c r="H190" s="11">
        <v>161</v>
      </c>
      <c r="I190" s="10">
        <v>148</v>
      </c>
      <c r="J190" s="10">
        <f>AVERAGE(Table5[[#This Row],[23 Pts]:[25 Proj]])</f>
        <v>154.5</v>
      </c>
      <c r="K190" s="32">
        <f>Table5[[#This Row],[Avg]]/17</f>
        <v>9.0882352941176467</v>
      </c>
      <c r="L190" s="9" t="s">
        <v>147</v>
      </c>
      <c r="M190">
        <v>141</v>
      </c>
      <c r="N190">
        <v>12</v>
      </c>
    </row>
    <row r="191" spans="2:14" x14ac:dyDescent="0.35">
      <c r="B191" s="8">
        <v>333</v>
      </c>
      <c r="C191" s="8">
        <v>79</v>
      </c>
      <c r="D191" s="47" t="s">
        <v>134</v>
      </c>
      <c r="E191" s="4" t="s">
        <v>48</v>
      </c>
      <c r="F191" s="9" t="s">
        <v>24</v>
      </c>
      <c r="G191" s="10">
        <v>23.1</v>
      </c>
      <c r="H191" s="11">
        <v>63.3</v>
      </c>
      <c r="I191" s="10">
        <v>68.599999999999994</v>
      </c>
      <c r="J191" s="10">
        <f>AVERAGE(Table5[[#This Row],[23 Pts]:[25 Proj]])</f>
        <v>51.666666666666664</v>
      </c>
      <c r="K191" s="32">
        <f>Table5[[#This Row],[Avg]]/17</f>
        <v>3.0392156862745097</v>
      </c>
      <c r="L191" s="9" t="s">
        <v>147</v>
      </c>
      <c r="M191">
        <v>148</v>
      </c>
      <c r="N191">
        <v>13</v>
      </c>
    </row>
    <row r="192" spans="2:14" x14ac:dyDescent="0.35">
      <c r="B192" s="8">
        <v>130</v>
      </c>
      <c r="C192" s="8">
        <v>9</v>
      </c>
      <c r="D192" s="47" t="s">
        <v>244</v>
      </c>
      <c r="E192" s="4" t="s">
        <v>52</v>
      </c>
      <c r="F192" s="9" t="s">
        <v>424</v>
      </c>
      <c r="G192" s="10">
        <v>124.2</v>
      </c>
      <c r="H192" s="11">
        <v>222.3</v>
      </c>
      <c r="I192" s="10">
        <v>109.4</v>
      </c>
      <c r="J192" s="10">
        <f>AVERAGE(Table5[[#This Row],[23 Pts]:[25 Proj]])</f>
        <v>151.96666666666667</v>
      </c>
      <c r="K192" s="32">
        <f>Table5[[#This Row],[Avg]]/17</f>
        <v>8.93921568627451</v>
      </c>
      <c r="L192" s="9" t="s">
        <v>147</v>
      </c>
      <c r="M192">
        <v>165</v>
      </c>
      <c r="N192">
        <v>14</v>
      </c>
    </row>
    <row r="193" spans="2:14" x14ac:dyDescent="0.35">
      <c r="B193" s="8">
        <v>145</v>
      </c>
      <c r="C193" s="8">
        <v>57</v>
      </c>
      <c r="D193" s="47" t="s">
        <v>384</v>
      </c>
      <c r="E193" s="4" t="s">
        <v>55</v>
      </c>
      <c r="F193" s="9" t="s">
        <v>35</v>
      </c>
      <c r="G193" s="10" t="s">
        <v>60</v>
      </c>
      <c r="H193" s="11" t="s">
        <v>60</v>
      </c>
      <c r="I193" s="10">
        <v>145.80000000000001</v>
      </c>
      <c r="J193" s="10">
        <f>AVERAGE(Table5[[#This Row],[23 Pts]:[25 Proj]])</f>
        <v>145.80000000000001</v>
      </c>
      <c r="K193" s="32">
        <f>Table5[[#This Row],[Avg]]/17</f>
        <v>8.5764705882352956</v>
      </c>
      <c r="L193" s="9" t="s">
        <v>147</v>
      </c>
      <c r="M193">
        <v>172</v>
      </c>
      <c r="N193">
        <v>15</v>
      </c>
    </row>
    <row r="194" spans="2:14" x14ac:dyDescent="0.35">
      <c r="B194" s="8">
        <v>2</v>
      </c>
      <c r="C194" s="8">
        <v>2</v>
      </c>
      <c r="D194" s="39" t="s">
        <v>25</v>
      </c>
      <c r="E194" s="4" t="s">
        <v>23</v>
      </c>
      <c r="F194" s="9" t="s">
        <v>10</v>
      </c>
      <c r="G194" s="10">
        <v>338.22</v>
      </c>
      <c r="H194" s="11">
        <v>434.38</v>
      </c>
      <c r="I194" s="10">
        <v>351.21</v>
      </c>
      <c r="J194" s="10">
        <f>AVERAGE(Table5[[#This Row],[23 Pts]:[25 Proj]])</f>
        <v>374.6033333333333</v>
      </c>
      <c r="K194" s="32">
        <f>Table5[[#This Row],[Avg]]/17</f>
        <v>22.035490196078428</v>
      </c>
      <c r="L194" s="9" t="s">
        <v>147</v>
      </c>
      <c r="M194">
        <v>189</v>
      </c>
      <c r="N194">
        <v>16</v>
      </c>
    </row>
    <row r="195" spans="2:14" x14ac:dyDescent="0.35">
      <c r="B195" s="8">
        <v>144</v>
      </c>
      <c r="C195" s="8">
        <v>8</v>
      </c>
      <c r="D195" s="5" t="s">
        <v>433</v>
      </c>
      <c r="E195" s="4" t="s">
        <v>59</v>
      </c>
      <c r="F195" s="9" t="s">
        <v>117</v>
      </c>
      <c r="G195" s="10">
        <v>157</v>
      </c>
      <c r="H195" s="11">
        <v>139</v>
      </c>
      <c r="I195" s="10">
        <v>142</v>
      </c>
      <c r="J195" s="10">
        <f>AVERAGE(Table5[[#This Row],[23 Pts]:[25 Proj]])</f>
        <v>146</v>
      </c>
      <c r="K195" s="32">
        <f>Table5[[#This Row],[Avg]]/17</f>
        <v>8.5882352941176467</v>
      </c>
      <c r="L195" s="9"/>
    </row>
    <row r="196" spans="2:14" x14ac:dyDescent="0.35">
      <c r="B196" s="8">
        <v>143</v>
      </c>
      <c r="C196" s="8">
        <v>7</v>
      </c>
      <c r="D196" s="5" t="s">
        <v>315</v>
      </c>
      <c r="E196" s="4" t="s">
        <v>18</v>
      </c>
      <c r="F196" s="9" t="s">
        <v>117</v>
      </c>
      <c r="G196" s="10">
        <v>156</v>
      </c>
      <c r="H196" s="11">
        <v>141</v>
      </c>
      <c r="I196" s="10">
        <v>141</v>
      </c>
      <c r="J196" s="10">
        <f>AVERAGE(Table5[[#This Row],[23 Pts]:[25 Proj]])</f>
        <v>146</v>
      </c>
      <c r="K196" s="32">
        <f>Table5[[#This Row],[Avg]]/17</f>
        <v>8.5882352941176467</v>
      </c>
      <c r="L196" s="9"/>
    </row>
    <row r="197" spans="2:14" x14ac:dyDescent="0.35">
      <c r="B197" s="8">
        <v>17</v>
      </c>
      <c r="C197" s="8">
        <v>11</v>
      </c>
      <c r="D197" s="5" t="s">
        <v>114</v>
      </c>
      <c r="E197" s="4" t="s">
        <v>85</v>
      </c>
      <c r="F197" s="9" t="s">
        <v>10</v>
      </c>
      <c r="G197" s="10" t="s">
        <v>60</v>
      </c>
      <c r="H197" s="11">
        <v>319.95999999999998</v>
      </c>
      <c r="I197" s="10">
        <v>248.93</v>
      </c>
      <c r="J197" s="10">
        <f>AVERAGE(Table5[[#This Row],[23 Pts]:[25 Proj]])</f>
        <v>284.44499999999999</v>
      </c>
      <c r="K197" s="32">
        <f>Table5[[#This Row],[Avg]]/17</f>
        <v>16.73205882352941</v>
      </c>
      <c r="L197" s="9"/>
    </row>
    <row r="198" spans="2:14" x14ac:dyDescent="0.35">
      <c r="B198" s="8">
        <v>153</v>
      </c>
      <c r="C198" s="8">
        <v>11</v>
      </c>
      <c r="D198" s="5" t="s">
        <v>325</v>
      </c>
      <c r="E198" s="4" t="s">
        <v>85</v>
      </c>
      <c r="F198" s="9" t="s">
        <v>117</v>
      </c>
      <c r="G198" s="10">
        <v>158</v>
      </c>
      <c r="H198" s="11">
        <v>140</v>
      </c>
      <c r="I198" s="10">
        <v>130</v>
      </c>
      <c r="J198" s="10">
        <f>AVERAGE(Table5[[#This Row],[23 Pts]:[25 Proj]])</f>
        <v>142.66666666666666</v>
      </c>
      <c r="K198" s="32">
        <f>Table5[[#This Row],[Avg]]/17</f>
        <v>8.3921568627450966</v>
      </c>
      <c r="L198" s="9"/>
    </row>
    <row r="199" spans="2:14" x14ac:dyDescent="0.35">
      <c r="B199" s="8">
        <v>31</v>
      </c>
      <c r="C199" s="8">
        <v>18</v>
      </c>
      <c r="D199" s="5" t="s">
        <v>84</v>
      </c>
      <c r="E199" s="4" t="s">
        <v>65</v>
      </c>
      <c r="F199" s="9" t="s">
        <v>10</v>
      </c>
      <c r="G199" s="10">
        <v>236.26</v>
      </c>
      <c r="H199" s="11">
        <v>281</v>
      </c>
      <c r="I199" s="10">
        <v>249.01</v>
      </c>
      <c r="J199" s="10">
        <f>AVERAGE(Table5[[#This Row],[23 Pts]:[25 Proj]])</f>
        <v>255.42333333333332</v>
      </c>
      <c r="K199" s="32">
        <f>Table5[[#This Row],[Avg]]/17</f>
        <v>15.024901960784312</v>
      </c>
      <c r="L199" s="9"/>
    </row>
    <row r="200" spans="2:14" x14ac:dyDescent="0.35">
      <c r="B200" s="8">
        <v>47</v>
      </c>
      <c r="C200" s="8">
        <v>22</v>
      </c>
      <c r="D200" s="5" t="s">
        <v>68</v>
      </c>
      <c r="E200" s="4" t="s">
        <v>21</v>
      </c>
      <c r="F200" s="9" t="s">
        <v>10</v>
      </c>
      <c r="G200" s="10">
        <v>284.36</v>
      </c>
      <c r="H200" s="11">
        <v>188.58</v>
      </c>
      <c r="I200" s="10">
        <v>250.53</v>
      </c>
      <c r="J200" s="10">
        <f>AVERAGE(Table5[[#This Row],[23 Pts]:[25 Proj]])</f>
        <v>241.15666666666667</v>
      </c>
      <c r="K200" s="32">
        <f>Table5[[#This Row],[Avg]]/17</f>
        <v>14.185686274509804</v>
      </c>
      <c r="L200" s="9"/>
    </row>
    <row r="201" spans="2:14" x14ac:dyDescent="0.35">
      <c r="B201" s="8">
        <v>164</v>
      </c>
      <c r="C201" s="8">
        <v>14</v>
      </c>
      <c r="D201" s="5" t="s">
        <v>310</v>
      </c>
      <c r="E201" s="4" t="s">
        <v>65</v>
      </c>
      <c r="F201" s="9" t="s">
        <v>117</v>
      </c>
      <c r="G201" s="10">
        <v>121</v>
      </c>
      <c r="H201" s="11">
        <v>145</v>
      </c>
      <c r="I201" s="10">
        <v>143</v>
      </c>
      <c r="J201" s="10">
        <f>AVERAGE(Table5[[#This Row],[23 Pts]:[25 Proj]])</f>
        <v>136.33333333333334</v>
      </c>
      <c r="K201" s="32">
        <f>Table5[[#This Row],[Avg]]/17</f>
        <v>8.0196078431372548</v>
      </c>
      <c r="L201" s="9"/>
    </row>
    <row r="202" spans="2:14" x14ac:dyDescent="0.35">
      <c r="B202" s="8">
        <v>71</v>
      </c>
      <c r="C202" s="8">
        <v>27</v>
      </c>
      <c r="D202" s="12" t="s">
        <v>103</v>
      </c>
      <c r="E202" s="13" t="s">
        <v>104</v>
      </c>
      <c r="F202" s="9" t="s">
        <v>10</v>
      </c>
      <c r="G202" s="10">
        <v>166.38</v>
      </c>
      <c r="H202" s="14">
        <v>204.02</v>
      </c>
      <c r="I202" s="10">
        <v>250.3</v>
      </c>
      <c r="J202" s="10">
        <f>AVERAGE(Table5[[#This Row],[23 Pts]:[25 Proj]])</f>
        <v>206.9</v>
      </c>
      <c r="K202" s="32">
        <f>Table5[[#This Row],[Avg]]/17</f>
        <v>12.170588235294119</v>
      </c>
      <c r="L202" s="9"/>
    </row>
    <row r="203" spans="2:14" x14ac:dyDescent="0.35">
      <c r="B203" s="8">
        <v>167</v>
      </c>
      <c r="C203" s="8">
        <v>15</v>
      </c>
      <c r="D203" s="12" t="s">
        <v>314</v>
      </c>
      <c r="E203" s="13" t="s">
        <v>51</v>
      </c>
      <c r="F203" s="9" t="s">
        <v>117</v>
      </c>
      <c r="G203" s="10" t="s">
        <v>60</v>
      </c>
      <c r="H203" s="14">
        <v>131</v>
      </c>
      <c r="I203" s="10">
        <v>141</v>
      </c>
      <c r="J203" s="10">
        <f>AVERAGE(Table5[[#This Row],[23 Pts]:[25 Proj]])</f>
        <v>136</v>
      </c>
      <c r="K203" s="32">
        <f>Table5[[#This Row],[Avg]]/17</f>
        <v>8</v>
      </c>
      <c r="L203" s="9"/>
    </row>
    <row r="204" spans="2:14" x14ac:dyDescent="0.35">
      <c r="B204" s="8">
        <v>168</v>
      </c>
      <c r="C204" s="8">
        <v>16</v>
      </c>
      <c r="D204" s="12" t="s">
        <v>326</v>
      </c>
      <c r="E204" s="13" t="s">
        <v>62</v>
      </c>
      <c r="F204" s="9" t="s">
        <v>117</v>
      </c>
      <c r="G204" s="10">
        <v>150</v>
      </c>
      <c r="H204" s="14">
        <v>131</v>
      </c>
      <c r="I204" s="10">
        <v>126</v>
      </c>
      <c r="J204" s="10">
        <f>AVERAGE(Table5[[#This Row],[23 Pts]:[25 Proj]])</f>
        <v>135.66666666666666</v>
      </c>
      <c r="K204" s="32">
        <f>Table5[[#This Row],[Avg]]/17</f>
        <v>7.9803921568627443</v>
      </c>
      <c r="L204" s="9"/>
    </row>
    <row r="205" spans="2:14" x14ac:dyDescent="0.35">
      <c r="B205" s="8">
        <v>169</v>
      </c>
      <c r="C205" s="8">
        <v>17</v>
      </c>
      <c r="D205" s="12" t="s">
        <v>321</v>
      </c>
      <c r="E205" s="13" t="s">
        <v>38</v>
      </c>
      <c r="F205" s="9" t="s">
        <v>117</v>
      </c>
      <c r="G205" s="10" t="s">
        <v>60</v>
      </c>
      <c r="H205" s="14">
        <v>135</v>
      </c>
      <c r="I205" s="10">
        <v>136</v>
      </c>
      <c r="J205" s="10">
        <f>AVERAGE(Table5[[#This Row],[23 Pts]:[25 Proj]])</f>
        <v>135.5</v>
      </c>
      <c r="K205" s="32">
        <f>Table5[[#This Row],[Avg]]/17</f>
        <v>7.9705882352941178</v>
      </c>
      <c r="L205" s="9"/>
    </row>
    <row r="206" spans="2:14" x14ac:dyDescent="0.35">
      <c r="B206" s="8">
        <v>73</v>
      </c>
      <c r="C206" s="8">
        <v>28</v>
      </c>
      <c r="D206" s="12" t="s">
        <v>91</v>
      </c>
      <c r="E206" s="13" t="s">
        <v>87</v>
      </c>
      <c r="F206" s="9" t="s">
        <v>10</v>
      </c>
      <c r="G206" s="10">
        <v>264.89999999999998</v>
      </c>
      <c r="H206" s="14">
        <v>177.78</v>
      </c>
      <c r="I206" s="10">
        <v>173.02</v>
      </c>
      <c r="J206" s="10">
        <f>AVERAGE(Table5[[#This Row],[23 Pts]:[25 Proj]])</f>
        <v>205.23333333333332</v>
      </c>
      <c r="K206" s="32">
        <f>Table5[[#This Row],[Avg]]/17</f>
        <v>12.072549019607843</v>
      </c>
      <c r="L206" s="9"/>
    </row>
    <row r="207" spans="2:14" x14ac:dyDescent="0.35">
      <c r="B207" s="8">
        <v>173</v>
      </c>
      <c r="C207" s="8">
        <v>18</v>
      </c>
      <c r="D207" s="12" t="s">
        <v>307</v>
      </c>
      <c r="E207" s="13" t="s">
        <v>22</v>
      </c>
      <c r="F207" s="9" t="s">
        <v>117</v>
      </c>
      <c r="G207" s="10">
        <v>154</v>
      </c>
      <c r="H207" s="14">
        <v>100</v>
      </c>
      <c r="I207" s="10">
        <v>146</v>
      </c>
      <c r="J207" s="10">
        <f>AVERAGE(Table5[[#This Row],[23 Pts]:[25 Proj]])</f>
        <v>133.33333333333334</v>
      </c>
      <c r="K207" s="32">
        <f>Table5[[#This Row],[Avg]]/17</f>
        <v>7.8431372549019613</v>
      </c>
      <c r="L207" s="9"/>
    </row>
    <row r="208" spans="2:14" x14ac:dyDescent="0.35">
      <c r="B208" s="8">
        <v>175</v>
      </c>
      <c r="C208" s="8">
        <v>19</v>
      </c>
      <c r="D208" s="12" t="s">
        <v>324</v>
      </c>
      <c r="E208" s="13" t="s">
        <v>55</v>
      </c>
      <c r="F208" s="9" t="s">
        <v>117</v>
      </c>
      <c r="G208" s="10">
        <v>158</v>
      </c>
      <c r="H208" s="14">
        <v>109</v>
      </c>
      <c r="I208" s="10">
        <v>132</v>
      </c>
      <c r="J208" s="10">
        <f>AVERAGE(Table5[[#This Row],[23 Pts]:[25 Proj]])</f>
        <v>133</v>
      </c>
      <c r="K208" s="32">
        <f>Table5[[#This Row],[Avg]]/17</f>
        <v>7.8235294117647056</v>
      </c>
      <c r="L208" s="9"/>
    </row>
    <row r="209" spans="2:12" x14ac:dyDescent="0.35">
      <c r="B209" s="8">
        <v>101</v>
      </c>
      <c r="C209" s="8">
        <v>29</v>
      </c>
      <c r="D209" s="12" t="s">
        <v>161</v>
      </c>
      <c r="E209" s="13" t="s">
        <v>62</v>
      </c>
      <c r="F209" s="9" t="s">
        <v>10</v>
      </c>
      <c r="G209" s="10" t="s">
        <v>60</v>
      </c>
      <c r="H209" s="14" t="s">
        <v>60</v>
      </c>
      <c r="I209" s="10">
        <v>180.02</v>
      </c>
      <c r="J209" s="10">
        <f>AVERAGE(Table5[[#This Row],[23 Pts]:[25 Proj]])</f>
        <v>180.02</v>
      </c>
      <c r="K209" s="32">
        <f>Table5[[#This Row],[Avg]]/17</f>
        <v>10.589411764705883</v>
      </c>
      <c r="L209" s="9"/>
    </row>
    <row r="210" spans="2:12" x14ac:dyDescent="0.35">
      <c r="B210" s="8">
        <v>105</v>
      </c>
      <c r="C210" s="8">
        <v>30</v>
      </c>
      <c r="D210" s="12" t="s">
        <v>102</v>
      </c>
      <c r="E210" s="13" t="s">
        <v>73</v>
      </c>
      <c r="F210" s="9" t="s">
        <v>10</v>
      </c>
      <c r="G210" s="10">
        <v>73.680000000000007</v>
      </c>
      <c r="H210" s="14">
        <v>175.36</v>
      </c>
      <c r="I210" s="10">
        <v>269.06</v>
      </c>
      <c r="J210" s="10">
        <f>AVERAGE(Table5[[#This Row],[23 Pts]:[25 Proj]])</f>
        <v>172.70000000000002</v>
      </c>
      <c r="K210" s="32">
        <f>Table5[[#This Row],[Avg]]/17</f>
        <v>10.158823529411766</v>
      </c>
      <c r="L210" s="9"/>
    </row>
    <row r="211" spans="2:12" x14ac:dyDescent="0.35">
      <c r="B211" s="8">
        <v>126</v>
      </c>
      <c r="C211" s="8">
        <v>51</v>
      </c>
      <c r="D211" s="12" t="s">
        <v>332</v>
      </c>
      <c r="E211" s="13" t="s">
        <v>23</v>
      </c>
      <c r="F211" s="9" t="s">
        <v>35</v>
      </c>
      <c r="G211" s="10">
        <v>223.6</v>
      </c>
      <c r="H211" s="14">
        <v>147</v>
      </c>
      <c r="I211" s="10">
        <v>96.9</v>
      </c>
      <c r="J211" s="10">
        <f>AVERAGE(Table5[[#This Row],[23 Pts]:[25 Proj]])</f>
        <v>155.83333333333334</v>
      </c>
      <c r="K211" s="32">
        <f>Table5[[#This Row],[Avg]]/17</f>
        <v>9.1666666666666679</v>
      </c>
      <c r="L211" s="9"/>
    </row>
    <row r="212" spans="2:12" x14ac:dyDescent="0.35">
      <c r="B212" s="8">
        <v>128</v>
      </c>
      <c r="C212" s="8">
        <v>53</v>
      </c>
      <c r="D212" s="12" t="s">
        <v>380</v>
      </c>
      <c r="E212" s="13" t="s">
        <v>79</v>
      </c>
      <c r="F212" s="9" t="s">
        <v>35</v>
      </c>
      <c r="G212" s="10" t="s">
        <v>60</v>
      </c>
      <c r="H212" s="14" t="s">
        <v>60</v>
      </c>
      <c r="I212" s="10">
        <v>154.5</v>
      </c>
      <c r="J212" s="10">
        <f>AVERAGE(Table5[[#This Row],[23 Pts]:[25 Proj]])</f>
        <v>154.5</v>
      </c>
      <c r="K212" s="32">
        <f>Table5[[#This Row],[Avg]]/17</f>
        <v>9.0882352941176467</v>
      </c>
      <c r="L212" s="9"/>
    </row>
    <row r="213" spans="2:12" x14ac:dyDescent="0.35">
      <c r="B213" s="8">
        <v>134</v>
      </c>
      <c r="C213" s="8">
        <v>31</v>
      </c>
      <c r="D213" s="12" t="s">
        <v>159</v>
      </c>
      <c r="E213" s="13" t="s">
        <v>31</v>
      </c>
      <c r="F213" s="9" t="s">
        <v>10</v>
      </c>
      <c r="G213" s="10" t="s">
        <v>60</v>
      </c>
      <c r="H213" s="14">
        <v>47.1</v>
      </c>
      <c r="I213" s="10">
        <v>252.27</v>
      </c>
      <c r="J213" s="10">
        <f>AVERAGE(Table5[[#This Row],[23 Pts]:[25 Proj]])</f>
        <v>149.685</v>
      </c>
      <c r="K213" s="32">
        <f>Table5[[#This Row],[Avg]]/17</f>
        <v>8.8049999999999997</v>
      </c>
      <c r="L213" s="9"/>
    </row>
    <row r="214" spans="2:12" x14ac:dyDescent="0.35">
      <c r="B214" s="8">
        <v>184</v>
      </c>
      <c r="C214" s="8">
        <v>21</v>
      </c>
      <c r="D214" s="12" t="s">
        <v>322</v>
      </c>
      <c r="E214" s="13" t="s">
        <v>27</v>
      </c>
      <c r="F214" s="9" t="s">
        <v>117</v>
      </c>
      <c r="G214" s="10" t="s">
        <v>60</v>
      </c>
      <c r="H214" s="14">
        <v>126</v>
      </c>
      <c r="I214" s="10">
        <v>135</v>
      </c>
      <c r="J214" s="10">
        <f>AVERAGE(Table5[[#This Row],[23 Pts]:[25 Proj]])</f>
        <v>130.5</v>
      </c>
      <c r="K214" s="32">
        <f>Table5[[#This Row],[Avg]]/17</f>
        <v>7.6764705882352944</v>
      </c>
      <c r="L214" s="9"/>
    </row>
    <row r="215" spans="2:12" x14ac:dyDescent="0.35">
      <c r="B215" s="8">
        <v>137</v>
      </c>
      <c r="C215" s="8">
        <v>55</v>
      </c>
      <c r="D215" s="12" t="s">
        <v>390</v>
      </c>
      <c r="E215" s="13" t="s">
        <v>87</v>
      </c>
      <c r="F215" s="9" t="s">
        <v>35</v>
      </c>
      <c r="G215" s="10">
        <v>133.19999999999999</v>
      </c>
      <c r="H215" s="14">
        <v>182.7</v>
      </c>
      <c r="I215" s="10">
        <v>127.8</v>
      </c>
      <c r="J215" s="10">
        <f>AVERAGE(Table5[[#This Row],[23 Pts]:[25 Proj]])</f>
        <v>147.9</v>
      </c>
      <c r="K215" s="32">
        <f>Table5[[#This Row],[Avg]]/17</f>
        <v>8.7000000000000011</v>
      </c>
      <c r="L215" s="9"/>
    </row>
    <row r="216" spans="2:12" x14ac:dyDescent="0.35">
      <c r="B216" s="8">
        <v>139</v>
      </c>
      <c r="C216" s="8">
        <v>56</v>
      </c>
      <c r="D216" s="12" t="s">
        <v>409</v>
      </c>
      <c r="E216" s="13" t="s">
        <v>9</v>
      </c>
      <c r="F216" s="9" t="s">
        <v>35</v>
      </c>
      <c r="G216" s="10">
        <v>227</v>
      </c>
      <c r="H216" s="14">
        <v>122.7</v>
      </c>
      <c r="I216" s="10">
        <v>93.6</v>
      </c>
      <c r="J216" s="10">
        <f>AVERAGE(Table5[[#This Row],[23 Pts]:[25 Proj]])</f>
        <v>147.76666666666665</v>
      </c>
      <c r="K216" s="32">
        <f>Table5[[#This Row],[Avg]]/17</f>
        <v>8.6921568627450974</v>
      </c>
      <c r="L216" s="9"/>
    </row>
    <row r="217" spans="2:12" x14ac:dyDescent="0.35">
      <c r="B217" s="8">
        <v>187</v>
      </c>
      <c r="C217" s="8">
        <v>22</v>
      </c>
      <c r="D217" s="12" t="s">
        <v>319</v>
      </c>
      <c r="E217" s="13" t="s">
        <v>12</v>
      </c>
      <c r="F217" s="9" t="s">
        <v>117</v>
      </c>
      <c r="G217" s="10">
        <v>131</v>
      </c>
      <c r="H217" s="14">
        <v>118</v>
      </c>
      <c r="I217" s="10">
        <v>138</v>
      </c>
      <c r="J217" s="10">
        <f>AVERAGE(Table5[[#This Row],[23 Pts]:[25 Proj]])</f>
        <v>129</v>
      </c>
      <c r="K217" s="32">
        <f>Table5[[#This Row],[Avg]]/17</f>
        <v>7.5882352941176467</v>
      </c>
      <c r="L217" s="9"/>
    </row>
    <row r="218" spans="2:12" x14ac:dyDescent="0.35">
      <c r="B218" s="8">
        <v>189</v>
      </c>
      <c r="C218" s="8">
        <v>8</v>
      </c>
      <c r="D218" s="12" t="s">
        <v>280</v>
      </c>
      <c r="E218" s="13" t="s">
        <v>14</v>
      </c>
      <c r="F218" s="9" t="s">
        <v>1</v>
      </c>
      <c r="G218" s="10">
        <v>172</v>
      </c>
      <c r="H218" s="14">
        <v>120</v>
      </c>
      <c r="I218" s="10">
        <v>93</v>
      </c>
      <c r="J218" s="10">
        <f>AVERAGE(Table5[[#This Row],[23 Pts]:[25 Proj]])</f>
        <v>128.33333333333334</v>
      </c>
      <c r="K218" s="32">
        <f>Table5[[#This Row],[Avg]]/17</f>
        <v>7.549019607843138</v>
      </c>
      <c r="L218" s="9"/>
    </row>
    <row r="219" spans="2:12" x14ac:dyDescent="0.35">
      <c r="B219" s="8">
        <v>192</v>
      </c>
      <c r="C219" s="8">
        <v>23</v>
      </c>
      <c r="D219" s="12" t="s">
        <v>318</v>
      </c>
      <c r="E219" s="13" t="s">
        <v>40</v>
      </c>
      <c r="F219" s="9" t="s">
        <v>117</v>
      </c>
      <c r="G219" s="10">
        <v>146</v>
      </c>
      <c r="H219" s="14">
        <v>99</v>
      </c>
      <c r="I219" s="10">
        <v>138</v>
      </c>
      <c r="J219" s="10">
        <f>AVERAGE(Table5[[#This Row],[23 Pts]:[25 Proj]])</f>
        <v>127.66666666666667</v>
      </c>
      <c r="K219" s="32">
        <f>Table5[[#This Row],[Avg]]/17</f>
        <v>7.5098039215686274</v>
      </c>
      <c r="L219" s="9"/>
    </row>
    <row r="220" spans="2:12" x14ac:dyDescent="0.35">
      <c r="B220" s="8">
        <v>161</v>
      </c>
      <c r="C220" s="8">
        <v>59</v>
      </c>
      <c r="D220" s="12" t="s">
        <v>396</v>
      </c>
      <c r="E220" s="13" t="s">
        <v>40</v>
      </c>
      <c r="F220" s="9" t="s">
        <v>35</v>
      </c>
      <c r="G220" s="10">
        <v>174.4</v>
      </c>
      <c r="H220" s="14">
        <v>132.1</v>
      </c>
      <c r="I220" s="10">
        <v>109.8</v>
      </c>
      <c r="J220" s="10">
        <f>AVERAGE(Table5[[#This Row],[23 Pts]:[25 Proj]])</f>
        <v>138.76666666666668</v>
      </c>
      <c r="K220" s="32">
        <f>Table5[[#This Row],[Avg]]/17</f>
        <v>8.1627450980392169</v>
      </c>
      <c r="L220" s="9"/>
    </row>
    <row r="221" spans="2:12" x14ac:dyDescent="0.35">
      <c r="B221" s="8">
        <v>163</v>
      </c>
      <c r="C221" s="8">
        <v>41</v>
      </c>
      <c r="D221" s="12" t="s">
        <v>67</v>
      </c>
      <c r="E221" s="13" t="s">
        <v>65</v>
      </c>
      <c r="F221" s="9" t="s">
        <v>24</v>
      </c>
      <c r="G221" s="10">
        <v>267.7</v>
      </c>
      <c r="H221" s="14">
        <v>70.900000000000006</v>
      </c>
      <c r="I221" s="10">
        <v>71.900000000000006</v>
      </c>
      <c r="J221" s="10">
        <f>AVERAGE(Table5[[#This Row],[23 Pts]:[25 Proj]])</f>
        <v>136.83333333333334</v>
      </c>
      <c r="K221" s="32">
        <f>Table5[[#This Row],[Avg]]/17</f>
        <v>8.0490196078431371</v>
      </c>
      <c r="L221" s="9"/>
    </row>
    <row r="222" spans="2:12" x14ac:dyDescent="0.35">
      <c r="B222" s="8">
        <v>170</v>
      </c>
      <c r="C222" s="8">
        <v>61</v>
      </c>
      <c r="D222" s="12" t="s">
        <v>422</v>
      </c>
      <c r="E222" s="13" t="s">
        <v>81</v>
      </c>
      <c r="F222" s="9" t="s">
        <v>35</v>
      </c>
      <c r="G222" s="10">
        <v>202.4</v>
      </c>
      <c r="H222" s="14">
        <v>121</v>
      </c>
      <c r="I222" s="10">
        <v>79.400000000000006</v>
      </c>
      <c r="J222" s="10">
        <f>AVERAGE(Table5[[#This Row],[23 Pts]:[25 Proj]])</f>
        <v>134.26666666666665</v>
      </c>
      <c r="K222" s="32">
        <f>Table5[[#This Row],[Avg]]/17</f>
        <v>7.898039215686274</v>
      </c>
      <c r="L222" s="9"/>
    </row>
    <row r="223" spans="2:12" x14ac:dyDescent="0.35">
      <c r="B223" s="8">
        <v>171</v>
      </c>
      <c r="C223" s="8">
        <v>62</v>
      </c>
      <c r="D223" s="12" t="s">
        <v>399</v>
      </c>
      <c r="E223" s="13" t="s">
        <v>79</v>
      </c>
      <c r="F223" s="9" t="s">
        <v>35</v>
      </c>
      <c r="G223" s="10">
        <v>94</v>
      </c>
      <c r="H223" s="14">
        <v>174.7</v>
      </c>
      <c r="I223" s="10">
        <v>132.6</v>
      </c>
      <c r="J223" s="10">
        <f>AVERAGE(Table5[[#This Row],[23 Pts]:[25 Proj]])</f>
        <v>133.76666666666665</v>
      </c>
      <c r="K223" s="32">
        <f>Table5[[#This Row],[Avg]]/17</f>
        <v>7.8686274509803908</v>
      </c>
      <c r="L223" s="9"/>
    </row>
    <row r="224" spans="2:12" x14ac:dyDescent="0.35">
      <c r="B224" s="8">
        <v>174</v>
      </c>
      <c r="C224" s="8">
        <v>64</v>
      </c>
      <c r="D224" s="12" t="s">
        <v>389</v>
      </c>
      <c r="E224" s="13" t="s">
        <v>65</v>
      </c>
      <c r="F224" s="9" t="s">
        <v>35</v>
      </c>
      <c r="G224" s="10" t="s">
        <v>60</v>
      </c>
      <c r="H224" s="14" t="s">
        <v>60</v>
      </c>
      <c r="I224" s="10">
        <v>133</v>
      </c>
      <c r="J224" s="10">
        <f>AVERAGE(Table5[[#This Row],[23 Pts]:[25 Proj]])</f>
        <v>133</v>
      </c>
      <c r="K224" s="32">
        <f>Table5[[#This Row],[Avg]]/17</f>
        <v>7.8235294117647056</v>
      </c>
      <c r="L224" s="9"/>
    </row>
    <row r="225" spans="2:12" x14ac:dyDescent="0.35">
      <c r="B225" s="8">
        <v>202</v>
      </c>
      <c r="C225" s="8">
        <v>25</v>
      </c>
      <c r="D225" s="12" t="s">
        <v>333</v>
      </c>
      <c r="E225" s="13" t="s">
        <v>83</v>
      </c>
      <c r="F225" s="9" t="s">
        <v>117</v>
      </c>
      <c r="G225" s="10" t="s">
        <v>60</v>
      </c>
      <c r="H225" s="14" t="s">
        <v>60</v>
      </c>
      <c r="I225" s="10">
        <v>124</v>
      </c>
      <c r="J225" s="10">
        <f>AVERAGE(Table5[[#This Row],[23 Pts]:[25 Proj]])</f>
        <v>124</v>
      </c>
      <c r="K225" s="32">
        <f>Table5[[#This Row],[Avg]]/17</f>
        <v>7.2941176470588234</v>
      </c>
      <c r="L225" s="9"/>
    </row>
    <row r="226" spans="2:12" x14ac:dyDescent="0.35">
      <c r="B226" s="8">
        <v>177</v>
      </c>
      <c r="C226" s="8">
        <v>65</v>
      </c>
      <c r="D226" s="12" t="s">
        <v>37</v>
      </c>
      <c r="E226" s="13" t="s">
        <v>83</v>
      </c>
      <c r="F226" s="9" t="s">
        <v>35</v>
      </c>
      <c r="G226" s="10" t="s">
        <v>60</v>
      </c>
      <c r="H226" s="14" t="s">
        <v>60</v>
      </c>
      <c r="I226" s="10">
        <v>132.69999999999999</v>
      </c>
      <c r="J226" s="10">
        <f>AVERAGE(Table5[[#This Row],[23 Pts]:[25 Proj]])</f>
        <v>132.69999999999999</v>
      </c>
      <c r="K226" s="32">
        <f>Table5[[#This Row],[Avg]]/17</f>
        <v>7.8058823529411754</v>
      </c>
      <c r="L226" s="9"/>
    </row>
    <row r="227" spans="2:12" x14ac:dyDescent="0.35">
      <c r="B227" s="8">
        <v>179</v>
      </c>
      <c r="C227" s="8">
        <v>66</v>
      </c>
      <c r="D227" s="12" t="s">
        <v>387</v>
      </c>
      <c r="E227" s="13" t="s">
        <v>83</v>
      </c>
      <c r="F227" s="9" t="s">
        <v>35</v>
      </c>
      <c r="G227" s="10">
        <v>107.2</v>
      </c>
      <c r="H227" s="14">
        <v>147.69999999999999</v>
      </c>
      <c r="I227" s="10">
        <v>140.19999999999999</v>
      </c>
      <c r="J227" s="10">
        <f>AVERAGE(Table5[[#This Row],[23 Pts]:[25 Proj]])</f>
        <v>131.69999999999999</v>
      </c>
      <c r="K227" s="32">
        <f>Table5[[#This Row],[Avg]]/17</f>
        <v>7.7470588235294109</v>
      </c>
      <c r="L227" s="9"/>
    </row>
    <row r="228" spans="2:12" x14ac:dyDescent="0.35">
      <c r="B228" s="8">
        <v>206</v>
      </c>
      <c r="C228" s="8">
        <v>26</v>
      </c>
      <c r="D228" s="12" t="s">
        <v>328</v>
      </c>
      <c r="E228" s="13" t="s">
        <v>20</v>
      </c>
      <c r="F228" s="9" t="s">
        <v>117</v>
      </c>
      <c r="G228" s="10">
        <v>131</v>
      </c>
      <c r="H228" s="14">
        <v>108</v>
      </c>
      <c r="I228" s="10">
        <v>125</v>
      </c>
      <c r="J228" s="10">
        <f>AVERAGE(Table5[[#This Row],[23 Pts]:[25 Proj]])</f>
        <v>121.33333333333333</v>
      </c>
      <c r="K228" s="32">
        <f>Table5[[#This Row],[Avg]]/17</f>
        <v>7.1372549019607838</v>
      </c>
      <c r="L228" s="9"/>
    </row>
    <row r="229" spans="2:12" x14ac:dyDescent="0.35">
      <c r="B229" s="8">
        <v>181</v>
      </c>
      <c r="C229" s="8">
        <v>67</v>
      </c>
      <c r="D229" s="12" t="s">
        <v>391</v>
      </c>
      <c r="E229" s="13" t="s">
        <v>42</v>
      </c>
      <c r="F229" s="9" t="s">
        <v>35</v>
      </c>
      <c r="G229" s="10" t="s">
        <v>60</v>
      </c>
      <c r="H229" s="14">
        <v>135.4</v>
      </c>
      <c r="I229" s="10">
        <v>127.6</v>
      </c>
      <c r="J229" s="10">
        <f>AVERAGE(Table5[[#This Row],[23 Pts]:[25 Proj]])</f>
        <v>131.5</v>
      </c>
      <c r="K229" s="32">
        <f>Table5[[#This Row],[Avg]]/17</f>
        <v>7.7352941176470589</v>
      </c>
      <c r="L229" s="9"/>
    </row>
    <row r="230" spans="2:12" x14ac:dyDescent="0.35">
      <c r="B230" s="8">
        <v>185</v>
      </c>
      <c r="C230" s="8">
        <v>32</v>
      </c>
      <c r="D230" s="12" t="s">
        <v>100</v>
      </c>
      <c r="E230" s="13" t="s">
        <v>31</v>
      </c>
      <c r="F230" s="9" t="s">
        <v>10</v>
      </c>
      <c r="G230" s="10">
        <v>154.74</v>
      </c>
      <c r="H230" s="14">
        <v>192.32</v>
      </c>
      <c r="I230" s="10">
        <v>43.61</v>
      </c>
      <c r="J230" s="10">
        <f>AVERAGE(Table5[[#This Row],[23 Pts]:[25 Proj]])</f>
        <v>130.22333333333333</v>
      </c>
      <c r="K230" s="32">
        <f>Table5[[#This Row],[Avg]]/17</f>
        <v>7.6601960784313725</v>
      </c>
      <c r="L230" s="9"/>
    </row>
    <row r="231" spans="2:12" x14ac:dyDescent="0.35">
      <c r="B231" s="8">
        <v>194</v>
      </c>
      <c r="C231" s="8">
        <v>70</v>
      </c>
      <c r="D231" s="12" t="s">
        <v>392</v>
      </c>
      <c r="E231" s="13" t="s">
        <v>73</v>
      </c>
      <c r="F231" s="9" t="s">
        <v>35</v>
      </c>
      <c r="G231" s="10">
        <v>95.4</v>
      </c>
      <c r="H231" s="14">
        <v>161.4</v>
      </c>
      <c r="I231" s="10">
        <v>121.8</v>
      </c>
      <c r="J231" s="10">
        <f>AVERAGE(Table5[[#This Row],[23 Pts]:[25 Proj]])</f>
        <v>126.2</v>
      </c>
      <c r="K231" s="32">
        <f>Table5[[#This Row],[Avg]]/17</f>
        <v>7.4235294117647062</v>
      </c>
      <c r="L231" s="9"/>
    </row>
    <row r="232" spans="2:12" x14ac:dyDescent="0.35">
      <c r="B232" s="8">
        <v>212</v>
      </c>
      <c r="C232" s="8">
        <v>27</v>
      </c>
      <c r="D232" s="12" t="s">
        <v>332</v>
      </c>
      <c r="E232" s="13" t="s">
        <v>34</v>
      </c>
      <c r="F232" s="9" t="s">
        <v>117</v>
      </c>
      <c r="G232" s="10">
        <v>149</v>
      </c>
      <c r="H232" s="14">
        <v>84</v>
      </c>
      <c r="I232" s="10">
        <v>117</v>
      </c>
      <c r="J232" s="10">
        <f>AVERAGE(Table5[[#This Row],[23 Pts]:[25 Proj]])</f>
        <v>116.66666666666667</v>
      </c>
      <c r="K232" s="32">
        <f>Table5[[#This Row],[Avg]]/17</f>
        <v>6.8627450980392162</v>
      </c>
      <c r="L232" s="9"/>
    </row>
    <row r="233" spans="2:12" x14ac:dyDescent="0.35">
      <c r="B233" s="8">
        <v>196</v>
      </c>
      <c r="C233" s="8">
        <v>19</v>
      </c>
      <c r="D233" s="12" t="s">
        <v>255</v>
      </c>
      <c r="E233" s="13" t="s">
        <v>55</v>
      </c>
      <c r="F233" s="9" t="s">
        <v>424</v>
      </c>
      <c r="G233" s="10">
        <v>181.1</v>
      </c>
      <c r="H233" s="14">
        <v>120.4</v>
      </c>
      <c r="I233" s="10">
        <v>75</v>
      </c>
      <c r="J233" s="10">
        <f>AVERAGE(Table5[[#This Row],[23 Pts]:[25 Proj]])</f>
        <v>125.5</v>
      </c>
      <c r="K233" s="32">
        <f>Table5[[#This Row],[Avg]]/17</f>
        <v>7.382352941176471</v>
      </c>
      <c r="L233" s="9"/>
    </row>
    <row r="234" spans="2:12" x14ac:dyDescent="0.35">
      <c r="B234" s="8">
        <v>214</v>
      </c>
      <c r="C234" s="8">
        <v>12</v>
      </c>
      <c r="D234" s="12" t="s">
        <v>282</v>
      </c>
      <c r="E234" s="13" t="s">
        <v>21</v>
      </c>
      <c r="F234" s="9" t="s">
        <v>1</v>
      </c>
      <c r="G234" s="10">
        <v>152</v>
      </c>
      <c r="H234" s="14">
        <v>110</v>
      </c>
      <c r="I234" s="10">
        <v>84</v>
      </c>
      <c r="J234" s="10">
        <f>AVERAGE(Table5[[#This Row],[23 Pts]:[25 Proj]])</f>
        <v>115.33333333333333</v>
      </c>
      <c r="K234" s="32">
        <f>Table5[[#This Row],[Avg]]/17</f>
        <v>6.784313725490196</v>
      </c>
      <c r="L234" s="9"/>
    </row>
    <row r="235" spans="2:12" x14ac:dyDescent="0.35">
      <c r="B235" s="8">
        <v>197</v>
      </c>
      <c r="C235" s="8">
        <v>20</v>
      </c>
      <c r="D235" s="12" t="s">
        <v>247</v>
      </c>
      <c r="E235" s="13" t="s">
        <v>48</v>
      </c>
      <c r="F235" s="9" t="s">
        <v>424</v>
      </c>
      <c r="G235" s="10">
        <v>150.5</v>
      </c>
      <c r="H235" s="14">
        <v>118.2</v>
      </c>
      <c r="I235" s="10">
        <v>107.7</v>
      </c>
      <c r="J235" s="10">
        <f>AVERAGE(Table5[[#This Row],[23 Pts]:[25 Proj]])</f>
        <v>125.46666666666665</v>
      </c>
      <c r="K235" s="32">
        <f>Table5[[#This Row],[Avg]]/17</f>
        <v>7.3803921568627446</v>
      </c>
      <c r="L235" s="9"/>
    </row>
    <row r="236" spans="2:12" x14ac:dyDescent="0.35">
      <c r="B236" s="8">
        <v>216</v>
      </c>
      <c r="C236" s="8">
        <v>28</v>
      </c>
      <c r="D236" s="12" t="s">
        <v>330</v>
      </c>
      <c r="E236" s="13" t="s">
        <v>81</v>
      </c>
      <c r="F236" s="9" t="s">
        <v>117</v>
      </c>
      <c r="G236" s="10">
        <v>102</v>
      </c>
      <c r="H236" s="14">
        <v>120</v>
      </c>
      <c r="I236" s="10">
        <v>121</v>
      </c>
      <c r="J236" s="10">
        <f>AVERAGE(Table5[[#This Row],[23 Pts]:[25 Proj]])</f>
        <v>114.33333333333333</v>
      </c>
      <c r="K236" s="32">
        <f>Table5[[#This Row],[Avg]]/17</f>
        <v>6.7254901960784315</v>
      </c>
      <c r="L236" s="9"/>
    </row>
    <row r="237" spans="2:12" x14ac:dyDescent="0.35">
      <c r="B237" s="8">
        <v>203</v>
      </c>
      <c r="C237" s="8">
        <v>72</v>
      </c>
      <c r="D237" s="12" t="s">
        <v>397</v>
      </c>
      <c r="E237" s="13" t="s">
        <v>87</v>
      </c>
      <c r="F237" s="9" t="s">
        <v>35</v>
      </c>
      <c r="G237" s="10">
        <v>151</v>
      </c>
      <c r="H237" s="14">
        <v>110</v>
      </c>
      <c r="I237" s="10">
        <v>109.8</v>
      </c>
      <c r="J237" s="10">
        <f>AVERAGE(Table5[[#This Row],[23 Pts]:[25 Proj]])</f>
        <v>123.60000000000001</v>
      </c>
      <c r="K237" s="32">
        <f>Table5[[#This Row],[Avg]]/17</f>
        <v>7.2705882352941185</v>
      </c>
      <c r="L237" s="9"/>
    </row>
    <row r="238" spans="2:12" x14ac:dyDescent="0.35">
      <c r="B238" s="8">
        <v>218</v>
      </c>
      <c r="C238" s="8">
        <v>13</v>
      </c>
      <c r="D238" s="12" t="s">
        <v>287</v>
      </c>
      <c r="E238" s="13" t="s">
        <v>42</v>
      </c>
      <c r="F238" s="9" t="s">
        <v>1</v>
      </c>
      <c r="G238" s="10">
        <v>135</v>
      </c>
      <c r="H238" s="14">
        <v>101</v>
      </c>
      <c r="I238" s="10">
        <v>104</v>
      </c>
      <c r="J238" s="10">
        <f>AVERAGE(Table5[[#This Row],[23 Pts]:[25 Proj]])</f>
        <v>113.33333333333333</v>
      </c>
      <c r="K238" s="32">
        <f>Table5[[#This Row],[Avg]]/17</f>
        <v>6.6666666666666661</v>
      </c>
      <c r="L238" s="9"/>
    </row>
    <row r="239" spans="2:12" x14ac:dyDescent="0.35">
      <c r="B239" s="8">
        <v>220</v>
      </c>
      <c r="C239" s="8">
        <v>15</v>
      </c>
      <c r="D239" s="12" t="s">
        <v>286</v>
      </c>
      <c r="E239" s="13" t="s">
        <v>85</v>
      </c>
      <c r="F239" s="9" t="s">
        <v>1</v>
      </c>
      <c r="G239" s="10">
        <v>109</v>
      </c>
      <c r="H239" s="14">
        <v>101</v>
      </c>
      <c r="I239" s="10">
        <v>129</v>
      </c>
      <c r="J239" s="10">
        <f>AVERAGE(Table5[[#This Row],[23 Pts]:[25 Proj]])</f>
        <v>113</v>
      </c>
      <c r="K239" s="32">
        <f>Table5[[#This Row],[Avg]]/17</f>
        <v>6.6470588235294121</v>
      </c>
      <c r="L239" s="9"/>
    </row>
    <row r="240" spans="2:12" x14ac:dyDescent="0.35">
      <c r="B240" s="8">
        <v>219</v>
      </c>
      <c r="C240" s="8">
        <v>14</v>
      </c>
      <c r="D240" s="12" t="s">
        <v>292</v>
      </c>
      <c r="E240" s="13" t="s">
        <v>20</v>
      </c>
      <c r="F240" s="9" t="s">
        <v>1</v>
      </c>
      <c r="G240" s="10">
        <v>157</v>
      </c>
      <c r="H240" s="14">
        <v>93</v>
      </c>
      <c r="I240" s="10">
        <v>89</v>
      </c>
      <c r="J240" s="10">
        <f>AVERAGE(Table5[[#This Row],[23 Pts]:[25 Proj]])</f>
        <v>113</v>
      </c>
      <c r="K240" s="32">
        <f>Table5[[#This Row],[Avg]]/17</f>
        <v>6.6470588235294121</v>
      </c>
      <c r="L240" s="9"/>
    </row>
    <row r="241" spans="2:12" x14ac:dyDescent="0.35">
      <c r="B241" s="8">
        <v>221</v>
      </c>
      <c r="C241" s="8">
        <v>29</v>
      </c>
      <c r="D241" s="12" t="s">
        <v>323</v>
      </c>
      <c r="E241" s="13" t="s">
        <v>46</v>
      </c>
      <c r="F241" s="9" t="s">
        <v>117</v>
      </c>
      <c r="G241" s="10">
        <v>81</v>
      </c>
      <c r="H241" s="14">
        <v>125</v>
      </c>
      <c r="I241" s="10">
        <v>133</v>
      </c>
      <c r="J241" s="10">
        <f>AVERAGE(Table5[[#This Row],[23 Pts]:[25 Proj]])</f>
        <v>113</v>
      </c>
      <c r="K241" s="32">
        <f>Table5[[#This Row],[Avg]]/17</f>
        <v>6.6470588235294121</v>
      </c>
      <c r="L241" s="9"/>
    </row>
    <row r="242" spans="2:12" x14ac:dyDescent="0.35">
      <c r="B242" s="8">
        <v>222</v>
      </c>
      <c r="C242" s="8">
        <v>16</v>
      </c>
      <c r="D242" s="12" t="s">
        <v>285</v>
      </c>
      <c r="E242" s="13" t="s">
        <v>55</v>
      </c>
      <c r="F242" s="9" t="s">
        <v>1</v>
      </c>
      <c r="G242" s="10">
        <v>120</v>
      </c>
      <c r="H242" s="14">
        <v>103</v>
      </c>
      <c r="I242" s="10">
        <v>115</v>
      </c>
      <c r="J242" s="10">
        <f>AVERAGE(Table5[[#This Row],[23 Pts]:[25 Proj]])</f>
        <v>112.66666666666667</v>
      </c>
      <c r="K242" s="32">
        <f>Table5[[#This Row],[Avg]]/17</f>
        <v>6.6274509803921573</v>
      </c>
      <c r="L242" s="9"/>
    </row>
    <row r="243" spans="2:12" x14ac:dyDescent="0.35">
      <c r="B243" s="8">
        <v>205</v>
      </c>
      <c r="C243" s="8">
        <v>21</v>
      </c>
      <c r="D243" s="12" t="s">
        <v>242</v>
      </c>
      <c r="E243" s="13" t="s">
        <v>42</v>
      </c>
      <c r="F243" s="9" t="s">
        <v>424</v>
      </c>
      <c r="G243" s="10">
        <v>116.5</v>
      </c>
      <c r="H243" s="14">
        <v>140.6</v>
      </c>
      <c r="I243" s="10">
        <v>110.2</v>
      </c>
      <c r="J243" s="10">
        <f>AVERAGE(Table5[[#This Row],[23 Pts]:[25 Proj]])</f>
        <v>122.43333333333334</v>
      </c>
      <c r="K243" s="32">
        <f>Table5[[#This Row],[Avg]]/17</f>
        <v>7.2019607843137257</v>
      </c>
      <c r="L243" s="9"/>
    </row>
    <row r="244" spans="2:12" x14ac:dyDescent="0.35">
      <c r="B244" s="8">
        <v>209</v>
      </c>
      <c r="C244" s="8">
        <v>75</v>
      </c>
      <c r="D244" s="12" t="s">
        <v>393</v>
      </c>
      <c r="E244" s="13" t="s">
        <v>46</v>
      </c>
      <c r="F244" s="9" t="s">
        <v>35</v>
      </c>
      <c r="G244" s="10">
        <v>114.5</v>
      </c>
      <c r="H244" s="14">
        <v>124.5</v>
      </c>
      <c r="I244" s="10">
        <v>116.7</v>
      </c>
      <c r="J244" s="10">
        <f>AVERAGE(Table5[[#This Row],[23 Pts]:[25 Proj]])</f>
        <v>118.56666666666666</v>
      </c>
      <c r="K244" s="32">
        <f>Table5[[#This Row],[Avg]]/17</f>
        <v>6.9745098039215687</v>
      </c>
      <c r="L244" s="9"/>
    </row>
    <row r="245" spans="2:12" x14ac:dyDescent="0.35">
      <c r="B245" s="8">
        <v>227</v>
      </c>
      <c r="C245" s="8">
        <v>17</v>
      </c>
      <c r="D245" s="12" t="s">
        <v>290</v>
      </c>
      <c r="E245" s="13" t="s">
        <v>79</v>
      </c>
      <c r="F245" s="9" t="s">
        <v>1</v>
      </c>
      <c r="G245" s="10">
        <v>112</v>
      </c>
      <c r="H245" s="14">
        <v>96</v>
      </c>
      <c r="I245" s="10">
        <v>128</v>
      </c>
      <c r="J245" s="10">
        <f>AVERAGE(Table5[[#This Row],[23 Pts]:[25 Proj]])</f>
        <v>112</v>
      </c>
      <c r="K245" s="32">
        <f>Table5[[#This Row],[Avg]]/17</f>
        <v>6.5882352941176467</v>
      </c>
      <c r="L245" s="9"/>
    </row>
    <row r="246" spans="2:12" x14ac:dyDescent="0.35">
      <c r="B246" s="8">
        <v>213</v>
      </c>
      <c r="C246" s="8">
        <v>46</v>
      </c>
      <c r="D246" s="12" t="s">
        <v>120</v>
      </c>
      <c r="E246" s="13" t="s">
        <v>31</v>
      </c>
      <c r="F246" s="9" t="s">
        <v>24</v>
      </c>
      <c r="G246" s="10">
        <v>137.6</v>
      </c>
      <c r="H246" s="14">
        <v>106.2</v>
      </c>
      <c r="I246" s="10">
        <v>104.2</v>
      </c>
      <c r="J246" s="10">
        <f>AVERAGE(Table5[[#This Row],[23 Pts]:[25 Proj]])</f>
        <v>116</v>
      </c>
      <c r="K246" s="32">
        <f>Table5[[#This Row],[Avg]]/17</f>
        <v>6.8235294117647056</v>
      </c>
      <c r="L246" s="9"/>
    </row>
    <row r="247" spans="2:12" x14ac:dyDescent="0.35">
      <c r="B247" s="8">
        <v>215</v>
      </c>
      <c r="C247" s="8">
        <v>33</v>
      </c>
      <c r="D247" s="12" t="s">
        <v>124</v>
      </c>
      <c r="E247" s="13" t="s">
        <v>34</v>
      </c>
      <c r="F247" s="9" t="s">
        <v>10</v>
      </c>
      <c r="G247" s="10">
        <v>108.84</v>
      </c>
      <c r="H247" s="14">
        <v>106.04</v>
      </c>
      <c r="I247" s="10">
        <v>129.84</v>
      </c>
      <c r="J247" s="10">
        <f>AVERAGE(Table5[[#This Row],[23 Pts]:[25 Proj]])</f>
        <v>114.90666666666668</v>
      </c>
      <c r="K247" s="32">
        <f>Table5[[#This Row],[Avg]]/17</f>
        <v>6.7592156862745103</v>
      </c>
      <c r="L247" s="9"/>
    </row>
    <row r="248" spans="2:12" x14ac:dyDescent="0.35">
      <c r="B248" s="8">
        <v>223</v>
      </c>
      <c r="C248" s="8">
        <v>23</v>
      </c>
      <c r="D248" s="12" t="s">
        <v>241</v>
      </c>
      <c r="E248" s="13" t="s">
        <v>20</v>
      </c>
      <c r="F248" s="9" t="s">
        <v>424</v>
      </c>
      <c r="G248" s="10" t="s">
        <v>60</v>
      </c>
      <c r="H248" s="14" t="s">
        <v>60</v>
      </c>
      <c r="I248" s="10">
        <v>112.6</v>
      </c>
      <c r="J248" s="10">
        <f>AVERAGE(Table5[[#This Row],[23 Pts]:[25 Proj]])</f>
        <v>112.6</v>
      </c>
      <c r="K248" s="32">
        <f>Table5[[#This Row],[Avg]]/17</f>
        <v>6.6235294117647054</v>
      </c>
      <c r="L248" s="9"/>
    </row>
    <row r="249" spans="2:12" x14ac:dyDescent="0.35">
      <c r="B249" s="8">
        <v>234</v>
      </c>
      <c r="C249" s="8">
        <v>19</v>
      </c>
      <c r="D249" s="12" t="s">
        <v>294</v>
      </c>
      <c r="E249" s="13" t="s">
        <v>34</v>
      </c>
      <c r="F249" s="9" t="s">
        <v>1</v>
      </c>
      <c r="G249" s="10">
        <v>157</v>
      </c>
      <c r="H249" s="14">
        <v>92</v>
      </c>
      <c r="I249" s="10">
        <v>81</v>
      </c>
      <c r="J249" s="10">
        <f>AVERAGE(Table5[[#This Row],[23 Pts]:[25 Proj]])</f>
        <v>110</v>
      </c>
      <c r="K249" s="32">
        <f>Table5[[#This Row],[Avg]]/17</f>
        <v>6.4705882352941178</v>
      </c>
      <c r="L249" s="9"/>
    </row>
    <row r="250" spans="2:12" x14ac:dyDescent="0.35">
      <c r="B250" s="8">
        <v>228</v>
      </c>
      <c r="C250" s="8">
        <v>49</v>
      </c>
      <c r="D250" s="12" t="s">
        <v>200</v>
      </c>
      <c r="E250" s="13" t="s">
        <v>22</v>
      </c>
      <c r="F250" s="9" t="s">
        <v>24</v>
      </c>
      <c r="G250" s="10">
        <v>118.5</v>
      </c>
      <c r="H250" s="14">
        <v>155.4</v>
      </c>
      <c r="I250" s="10">
        <v>60.6</v>
      </c>
      <c r="J250" s="10">
        <f>AVERAGE(Table5[[#This Row],[23 Pts]:[25 Proj]])</f>
        <v>111.5</v>
      </c>
      <c r="K250" s="32">
        <f>Table5[[#This Row],[Avg]]/17</f>
        <v>6.5588235294117645</v>
      </c>
      <c r="L250" s="9"/>
    </row>
    <row r="251" spans="2:12" x14ac:dyDescent="0.35">
      <c r="B251" s="8">
        <v>230</v>
      </c>
      <c r="C251" s="8">
        <v>25</v>
      </c>
      <c r="D251" s="12" t="s">
        <v>248</v>
      </c>
      <c r="E251" s="13" t="s">
        <v>23</v>
      </c>
      <c r="F251" s="9" t="s">
        <v>424</v>
      </c>
      <c r="G251" s="10">
        <v>101.1</v>
      </c>
      <c r="H251" s="14">
        <v>123.7</v>
      </c>
      <c r="I251" s="10">
        <v>107.2</v>
      </c>
      <c r="J251" s="10">
        <f>AVERAGE(Table5[[#This Row],[23 Pts]:[25 Proj]])</f>
        <v>110.66666666666667</v>
      </c>
      <c r="K251" s="32">
        <f>Table5[[#This Row],[Avg]]/17</f>
        <v>6.5098039215686274</v>
      </c>
      <c r="L251" s="9"/>
    </row>
    <row r="252" spans="2:12" x14ac:dyDescent="0.35">
      <c r="B252" s="8">
        <v>231</v>
      </c>
      <c r="C252" s="8">
        <v>77</v>
      </c>
      <c r="D252" s="12" t="s">
        <v>404</v>
      </c>
      <c r="E252" s="13" t="s">
        <v>40</v>
      </c>
      <c r="F252" s="9" t="s">
        <v>35</v>
      </c>
      <c r="G252" s="10">
        <v>119.76</v>
      </c>
      <c r="H252" s="14">
        <v>110.5</v>
      </c>
      <c r="I252" s="10">
        <v>101.7</v>
      </c>
      <c r="J252" s="10">
        <f>AVERAGE(Table5[[#This Row],[23 Pts]:[25 Proj]])</f>
        <v>110.65333333333332</v>
      </c>
      <c r="K252" s="32">
        <f>Table5[[#This Row],[Avg]]/17</f>
        <v>6.5090196078431362</v>
      </c>
      <c r="L252" s="9"/>
    </row>
    <row r="253" spans="2:12" x14ac:dyDescent="0.35">
      <c r="B253" s="8">
        <v>232</v>
      </c>
      <c r="C253" s="8">
        <v>26</v>
      </c>
      <c r="D253" s="5" t="s">
        <v>252</v>
      </c>
      <c r="E253" s="4" t="s">
        <v>52</v>
      </c>
      <c r="F253" s="9" t="s">
        <v>424</v>
      </c>
      <c r="G253" s="10">
        <v>76.8</v>
      </c>
      <c r="H253" s="11">
        <v>168.3</v>
      </c>
      <c r="I253" s="10">
        <v>86.3</v>
      </c>
      <c r="J253" s="10">
        <f>AVERAGE(Table5[[#This Row],[23 Pts]:[25 Proj]])</f>
        <v>110.46666666666668</v>
      </c>
      <c r="K253" s="32">
        <f>Table5[[#This Row],[Avg]]/17</f>
        <v>6.4980392156862754</v>
      </c>
      <c r="L253" s="9"/>
    </row>
    <row r="254" spans="2:12" x14ac:dyDescent="0.35">
      <c r="B254" s="8">
        <v>235</v>
      </c>
      <c r="C254" s="8">
        <v>27</v>
      </c>
      <c r="D254" s="5" t="s">
        <v>246</v>
      </c>
      <c r="E254" s="4" t="s">
        <v>62</v>
      </c>
      <c r="F254" s="9" t="s">
        <v>424</v>
      </c>
      <c r="G254" s="10">
        <v>97.8</v>
      </c>
      <c r="H254" s="11">
        <v>122.8</v>
      </c>
      <c r="I254" s="10">
        <v>108.9</v>
      </c>
      <c r="J254" s="10">
        <f>AVERAGE(Table5[[#This Row],[23 Pts]:[25 Proj]])</f>
        <v>109.83333333333333</v>
      </c>
      <c r="K254" s="32">
        <f>Table5[[#This Row],[Avg]]/17</f>
        <v>6.4607843137254903</v>
      </c>
      <c r="L254" s="9"/>
    </row>
    <row r="255" spans="2:12" x14ac:dyDescent="0.35">
      <c r="B255" s="8">
        <v>236</v>
      </c>
      <c r="C255" s="8">
        <v>28</v>
      </c>
      <c r="D255" s="5" t="s">
        <v>250</v>
      </c>
      <c r="E255" s="4" t="s">
        <v>21</v>
      </c>
      <c r="F255" s="9" t="s">
        <v>424</v>
      </c>
      <c r="G255" s="10">
        <v>113.2</v>
      </c>
      <c r="H255" s="11" t="s">
        <v>60</v>
      </c>
      <c r="I255" s="10">
        <v>105.2</v>
      </c>
      <c r="J255" s="10">
        <f>AVERAGE(Table5[[#This Row],[23 Pts]:[25 Proj]])</f>
        <v>109.2</v>
      </c>
      <c r="K255" s="32">
        <f>Table5[[#This Row],[Avg]]/17</f>
        <v>6.4235294117647062</v>
      </c>
      <c r="L255" s="9"/>
    </row>
    <row r="256" spans="2:12" x14ac:dyDescent="0.35">
      <c r="B256" s="8">
        <v>237</v>
      </c>
      <c r="C256" s="8">
        <v>51</v>
      </c>
      <c r="D256" s="5" t="s">
        <v>191</v>
      </c>
      <c r="E256" s="4" t="s">
        <v>23</v>
      </c>
      <c r="F256" s="9" t="s">
        <v>24</v>
      </c>
      <c r="G256" s="10">
        <v>109.3</v>
      </c>
      <c r="H256" s="11">
        <v>127.1</v>
      </c>
      <c r="I256" s="10">
        <v>89.9</v>
      </c>
      <c r="J256" s="10">
        <f>AVERAGE(Table5[[#This Row],[23 Pts]:[25 Proj]])</f>
        <v>108.76666666666665</v>
      </c>
      <c r="K256" s="32">
        <f>Table5[[#This Row],[Avg]]/17</f>
        <v>6.398039215686274</v>
      </c>
      <c r="L256" s="9"/>
    </row>
    <row r="257" spans="2:12" x14ac:dyDescent="0.35">
      <c r="B257" s="8">
        <v>245</v>
      </c>
      <c r="C257" s="8">
        <v>21</v>
      </c>
      <c r="D257" s="5" t="s">
        <v>297</v>
      </c>
      <c r="E257" s="4" t="s">
        <v>62</v>
      </c>
      <c r="F257" s="9" t="s">
        <v>1</v>
      </c>
      <c r="G257" s="10">
        <v>141</v>
      </c>
      <c r="H257" s="11">
        <v>83</v>
      </c>
      <c r="I257" s="10">
        <v>92</v>
      </c>
      <c r="J257" s="10">
        <f>AVERAGE(Table5[[#This Row],[23 Pts]:[25 Proj]])</f>
        <v>105.33333333333333</v>
      </c>
      <c r="K257" s="32">
        <f>Table5[[#This Row],[Avg]]/17</f>
        <v>6.1960784313725483</v>
      </c>
      <c r="L257" s="9"/>
    </row>
    <row r="258" spans="2:12" x14ac:dyDescent="0.35">
      <c r="B258" s="8">
        <v>244</v>
      </c>
      <c r="C258" s="8">
        <v>20</v>
      </c>
      <c r="D258" s="5" t="s">
        <v>293</v>
      </c>
      <c r="E258" s="4" t="s">
        <v>73</v>
      </c>
      <c r="F258" s="9" t="s">
        <v>1</v>
      </c>
      <c r="G258" s="10">
        <v>133</v>
      </c>
      <c r="H258" s="11">
        <v>92</v>
      </c>
      <c r="I258" s="10">
        <v>91</v>
      </c>
      <c r="J258" s="10">
        <f>AVERAGE(Table5[[#This Row],[23 Pts]:[25 Proj]])</f>
        <v>105.33333333333333</v>
      </c>
      <c r="K258" s="32">
        <f>Table5[[#This Row],[Avg]]/17</f>
        <v>6.1960784313725483</v>
      </c>
      <c r="L258" s="9"/>
    </row>
    <row r="259" spans="2:12" x14ac:dyDescent="0.35">
      <c r="B259" s="8">
        <v>238</v>
      </c>
      <c r="C259" s="8">
        <v>34</v>
      </c>
      <c r="D259" s="5" t="s">
        <v>173</v>
      </c>
      <c r="E259" s="4" t="s">
        <v>22</v>
      </c>
      <c r="F259" s="9" t="s">
        <v>10</v>
      </c>
      <c r="G259" s="10">
        <v>205.2</v>
      </c>
      <c r="H259" s="11">
        <v>106.32</v>
      </c>
      <c r="I259" s="10">
        <v>14.38</v>
      </c>
      <c r="J259" s="10">
        <f>AVERAGE(Table5[[#This Row],[23 Pts]:[25 Proj]])</f>
        <v>108.63333333333333</v>
      </c>
      <c r="K259" s="32">
        <f>Table5[[#This Row],[Avg]]/17</f>
        <v>6.3901960784313721</v>
      </c>
      <c r="L259" s="9"/>
    </row>
    <row r="260" spans="2:12" x14ac:dyDescent="0.35">
      <c r="B260" s="8">
        <v>239</v>
      </c>
      <c r="C260" s="8">
        <v>78</v>
      </c>
      <c r="D260" s="5" t="s">
        <v>419</v>
      </c>
      <c r="E260" s="4" t="s">
        <v>34</v>
      </c>
      <c r="F260" s="9" t="s">
        <v>35</v>
      </c>
      <c r="G260" s="10">
        <v>152.69999999999999</v>
      </c>
      <c r="H260" s="11">
        <v>89.1</v>
      </c>
      <c r="I260" s="10">
        <v>82.9</v>
      </c>
      <c r="J260" s="10">
        <f>AVERAGE(Table5[[#This Row],[23 Pts]:[25 Proj]])</f>
        <v>108.23333333333333</v>
      </c>
      <c r="K260" s="32">
        <f>Table5[[#This Row],[Avg]]/17</f>
        <v>6.3666666666666671</v>
      </c>
      <c r="L260" s="9"/>
    </row>
    <row r="261" spans="2:12" x14ac:dyDescent="0.35">
      <c r="B261" s="8">
        <v>248</v>
      </c>
      <c r="C261" s="8">
        <v>23</v>
      </c>
      <c r="D261" s="5" t="s">
        <v>291</v>
      </c>
      <c r="E261" s="4" t="s">
        <v>87</v>
      </c>
      <c r="F261" s="9" t="s">
        <v>1</v>
      </c>
      <c r="G261" s="10">
        <v>131</v>
      </c>
      <c r="H261" s="11">
        <v>93</v>
      </c>
      <c r="I261" s="10">
        <v>85</v>
      </c>
      <c r="J261" s="10">
        <f>AVERAGE(Table5[[#This Row],[23 Pts]:[25 Proj]])</f>
        <v>103</v>
      </c>
      <c r="K261" s="32">
        <f>Table5[[#This Row],[Avg]]/17</f>
        <v>6.0588235294117645</v>
      </c>
      <c r="L261" s="9"/>
    </row>
    <row r="262" spans="2:12" x14ac:dyDescent="0.35">
      <c r="B262" s="8">
        <v>249</v>
      </c>
      <c r="C262" s="8">
        <v>24</v>
      </c>
      <c r="D262" s="5" t="s">
        <v>295</v>
      </c>
      <c r="E262" s="4" t="s">
        <v>44</v>
      </c>
      <c r="F262" s="9" t="s">
        <v>1</v>
      </c>
      <c r="G262" s="10">
        <v>118</v>
      </c>
      <c r="H262" s="11">
        <v>92</v>
      </c>
      <c r="I262" s="10">
        <v>98</v>
      </c>
      <c r="J262" s="10">
        <f>AVERAGE(Table5[[#This Row],[23 Pts]:[25 Proj]])</f>
        <v>102.66666666666667</v>
      </c>
      <c r="K262" s="32">
        <f>Table5[[#This Row],[Avg]]/17</f>
        <v>6.0392156862745097</v>
      </c>
      <c r="L262" s="9"/>
    </row>
    <row r="263" spans="2:12" x14ac:dyDescent="0.35">
      <c r="B263" s="8">
        <v>240</v>
      </c>
      <c r="C263" s="8">
        <v>79</v>
      </c>
      <c r="D263" s="5" t="s">
        <v>420</v>
      </c>
      <c r="E263" s="4" t="s">
        <v>62</v>
      </c>
      <c r="F263" s="9" t="s">
        <v>35</v>
      </c>
      <c r="G263" s="10">
        <v>173.2</v>
      </c>
      <c r="H263" s="11">
        <v>69.599999999999994</v>
      </c>
      <c r="I263" s="10">
        <v>81.599999999999994</v>
      </c>
      <c r="J263" s="10">
        <f>AVERAGE(Table5[[#This Row],[23 Pts]:[25 Proj]])</f>
        <v>108.13333333333333</v>
      </c>
      <c r="K263" s="32">
        <f>Table5[[#This Row],[Avg]]/17</f>
        <v>6.3607843137254898</v>
      </c>
      <c r="L263" s="9"/>
    </row>
    <row r="264" spans="2:12" x14ac:dyDescent="0.35">
      <c r="B264" s="8">
        <v>241</v>
      </c>
      <c r="C264" s="8">
        <v>29</v>
      </c>
      <c r="D264" s="5" t="s">
        <v>249</v>
      </c>
      <c r="E264" s="4" t="s">
        <v>85</v>
      </c>
      <c r="F264" s="9" t="s">
        <v>424</v>
      </c>
      <c r="G264" s="10" t="s">
        <v>60</v>
      </c>
      <c r="H264" s="11" t="s">
        <v>60</v>
      </c>
      <c r="I264" s="10">
        <v>105.8</v>
      </c>
      <c r="J264" s="10">
        <f>AVERAGE(Table5[[#This Row],[23 Pts]:[25 Proj]])</f>
        <v>105.8</v>
      </c>
      <c r="K264" s="32">
        <f>Table5[[#This Row],[Avg]]/17</f>
        <v>6.223529411764706</v>
      </c>
      <c r="L264" s="9"/>
    </row>
    <row r="265" spans="2:12" x14ac:dyDescent="0.35">
      <c r="B265" s="8">
        <v>242</v>
      </c>
      <c r="C265" s="8">
        <v>30</v>
      </c>
      <c r="D265" s="5" t="s">
        <v>243</v>
      </c>
      <c r="E265" s="4" t="s">
        <v>44</v>
      </c>
      <c r="F265" s="9" t="s">
        <v>424</v>
      </c>
      <c r="G265" s="10">
        <v>65.400000000000006</v>
      </c>
      <c r="H265" s="11">
        <v>141.5</v>
      </c>
      <c r="I265" s="10">
        <v>110.1</v>
      </c>
      <c r="J265" s="10">
        <f>AVERAGE(Table5[[#This Row],[23 Pts]:[25 Proj]])</f>
        <v>105.66666666666667</v>
      </c>
      <c r="K265" s="32">
        <f>Table5[[#This Row],[Avg]]/17</f>
        <v>6.215686274509804</v>
      </c>
      <c r="L265" s="9"/>
    </row>
    <row r="266" spans="2:12" x14ac:dyDescent="0.35">
      <c r="B266" s="8">
        <v>243</v>
      </c>
      <c r="C266" s="8">
        <v>52</v>
      </c>
      <c r="D266" s="5" t="s">
        <v>110</v>
      </c>
      <c r="E266" s="4" t="s">
        <v>44</v>
      </c>
      <c r="F266" s="9" t="s">
        <v>24</v>
      </c>
      <c r="G266" s="10">
        <v>169.6</v>
      </c>
      <c r="H266" s="11">
        <v>81.900000000000006</v>
      </c>
      <c r="I266" s="10">
        <v>64.5</v>
      </c>
      <c r="J266" s="10">
        <f>AVERAGE(Table5[[#This Row],[23 Pts]:[25 Proj]])</f>
        <v>105.33333333333333</v>
      </c>
      <c r="K266" s="32">
        <f>Table5[[#This Row],[Avg]]/17</f>
        <v>6.1960784313725483</v>
      </c>
      <c r="L266" s="9"/>
    </row>
    <row r="267" spans="2:12" x14ac:dyDescent="0.35">
      <c r="B267" s="8">
        <v>246</v>
      </c>
      <c r="C267" s="8">
        <v>53</v>
      </c>
      <c r="D267" s="5" t="s">
        <v>107</v>
      </c>
      <c r="E267" s="4" t="s">
        <v>87</v>
      </c>
      <c r="F267" s="9" t="s">
        <v>24</v>
      </c>
      <c r="G267" s="10">
        <v>167.34</v>
      </c>
      <c r="H267" s="11">
        <v>96.6</v>
      </c>
      <c r="I267" s="10">
        <v>51.5</v>
      </c>
      <c r="J267" s="10">
        <f>AVERAGE(Table5[[#This Row],[23 Pts]:[25 Proj]])</f>
        <v>105.14666666666666</v>
      </c>
      <c r="K267" s="32">
        <f>Table5[[#This Row],[Avg]]/17</f>
        <v>6.1850980392156858</v>
      </c>
      <c r="L267" s="9"/>
    </row>
    <row r="268" spans="2:12" x14ac:dyDescent="0.35">
      <c r="B268" s="8">
        <v>250</v>
      </c>
      <c r="C268" s="8">
        <v>31</v>
      </c>
      <c r="D268" s="5" t="s">
        <v>261</v>
      </c>
      <c r="E268" s="4" t="s">
        <v>79</v>
      </c>
      <c r="F268" s="9" t="s">
        <v>424</v>
      </c>
      <c r="G268" s="10">
        <v>123.1</v>
      </c>
      <c r="H268" s="11">
        <v>121.9</v>
      </c>
      <c r="I268" s="10">
        <v>62.1</v>
      </c>
      <c r="J268" s="10">
        <f>AVERAGE(Table5[[#This Row],[23 Pts]:[25 Proj]])</f>
        <v>102.36666666666667</v>
      </c>
      <c r="K268" s="32">
        <f>Table5[[#This Row],[Avg]]/17</f>
        <v>6.0215686274509812</v>
      </c>
      <c r="L268" s="9"/>
    </row>
    <row r="269" spans="2:12" x14ac:dyDescent="0.35">
      <c r="B269" s="8">
        <v>251</v>
      </c>
      <c r="C269" s="8">
        <v>54</v>
      </c>
      <c r="D269" s="5" t="s">
        <v>223</v>
      </c>
      <c r="E269" s="4" t="s">
        <v>21</v>
      </c>
      <c r="F269" s="9" t="s">
        <v>24</v>
      </c>
      <c r="G269" s="10">
        <v>133.19999999999999</v>
      </c>
      <c r="H269" s="11">
        <v>137.4</v>
      </c>
      <c r="I269" s="10">
        <v>32.200000000000003</v>
      </c>
      <c r="J269" s="10">
        <f>AVERAGE(Table5[[#This Row],[23 Pts]:[25 Proj]])</f>
        <v>100.93333333333334</v>
      </c>
      <c r="K269" s="32">
        <f>Table5[[#This Row],[Avg]]/17</f>
        <v>5.9372549019607845</v>
      </c>
      <c r="L269" s="9"/>
    </row>
    <row r="270" spans="2:12" x14ac:dyDescent="0.35">
      <c r="B270" s="8">
        <v>257</v>
      </c>
      <c r="C270" s="8">
        <v>25</v>
      </c>
      <c r="D270" s="5" t="s">
        <v>299</v>
      </c>
      <c r="E270" s="4" t="s">
        <v>65</v>
      </c>
      <c r="F270" s="9" t="s">
        <v>1</v>
      </c>
      <c r="G270" s="10">
        <v>146</v>
      </c>
      <c r="H270" s="11">
        <v>77</v>
      </c>
      <c r="I270" s="10">
        <v>71</v>
      </c>
      <c r="J270" s="10">
        <f>AVERAGE(Table5[[#This Row],[23 Pts]:[25 Proj]])</f>
        <v>98</v>
      </c>
      <c r="K270" s="32">
        <f>Table5[[#This Row],[Avg]]/17</f>
        <v>5.7647058823529411</v>
      </c>
      <c r="L270" s="9"/>
    </row>
    <row r="271" spans="2:12" x14ac:dyDescent="0.35">
      <c r="B271" s="8">
        <v>253</v>
      </c>
      <c r="C271" s="8">
        <v>81</v>
      </c>
      <c r="D271" s="5" t="s">
        <v>400</v>
      </c>
      <c r="E271" s="4" t="s">
        <v>21</v>
      </c>
      <c r="F271" s="9" t="s">
        <v>35</v>
      </c>
      <c r="G271" s="10">
        <v>85</v>
      </c>
      <c r="H271" s="11">
        <v>135.69999999999999</v>
      </c>
      <c r="I271" s="10">
        <v>78.7</v>
      </c>
      <c r="J271" s="10">
        <f>AVERAGE(Table5[[#This Row],[23 Pts]:[25 Proj]])</f>
        <v>99.8</v>
      </c>
      <c r="K271" s="32">
        <f>Table5[[#This Row],[Avg]]/17</f>
        <v>5.8705882352941172</v>
      </c>
      <c r="L271" s="9"/>
    </row>
    <row r="272" spans="2:12" x14ac:dyDescent="0.35">
      <c r="B272" s="8">
        <v>254</v>
      </c>
      <c r="C272" s="8">
        <v>82</v>
      </c>
      <c r="D272" s="5" t="s">
        <v>398</v>
      </c>
      <c r="E272" s="4" t="s">
        <v>104</v>
      </c>
      <c r="F272" s="9" t="s">
        <v>35</v>
      </c>
      <c r="G272" s="10" t="s">
        <v>60</v>
      </c>
      <c r="H272" s="11">
        <v>92.56</v>
      </c>
      <c r="I272" s="10">
        <v>106.8</v>
      </c>
      <c r="J272" s="10">
        <f>AVERAGE(Table5[[#This Row],[23 Pts]:[25 Proj]])</f>
        <v>99.68</v>
      </c>
      <c r="K272" s="32">
        <f>Table5[[#This Row],[Avg]]/17</f>
        <v>5.8635294117647065</v>
      </c>
      <c r="L272" s="9"/>
    </row>
    <row r="273" spans="2:12" x14ac:dyDescent="0.35">
      <c r="B273" s="8">
        <v>256</v>
      </c>
      <c r="C273" s="8">
        <v>83</v>
      </c>
      <c r="D273" s="5" t="s">
        <v>417</v>
      </c>
      <c r="E273" s="4" t="s">
        <v>38</v>
      </c>
      <c r="F273" s="9" t="s">
        <v>35</v>
      </c>
      <c r="G273" s="10">
        <v>112.4</v>
      </c>
      <c r="H273" s="11">
        <v>98.9</v>
      </c>
      <c r="I273" s="10">
        <v>84.8</v>
      </c>
      <c r="J273" s="10">
        <f>AVERAGE(Table5[[#This Row],[23 Pts]:[25 Proj]])</f>
        <v>98.7</v>
      </c>
      <c r="K273" s="32">
        <f>Table5[[#This Row],[Avg]]/17</f>
        <v>5.8058823529411763</v>
      </c>
      <c r="L273" s="9"/>
    </row>
    <row r="274" spans="2:12" x14ac:dyDescent="0.35">
      <c r="B274" s="8">
        <v>258</v>
      </c>
      <c r="C274" s="8">
        <v>84</v>
      </c>
      <c r="D274" s="5" t="s">
        <v>421</v>
      </c>
      <c r="E274" s="4" t="s">
        <v>14</v>
      </c>
      <c r="F274" s="9" t="s">
        <v>35</v>
      </c>
      <c r="G274" s="10">
        <v>58.8</v>
      </c>
      <c r="H274" s="11">
        <v>152</v>
      </c>
      <c r="I274" s="10">
        <v>80.8</v>
      </c>
      <c r="J274" s="10">
        <f>AVERAGE(Table5[[#This Row],[23 Pts]:[25 Proj]])</f>
        <v>97.2</v>
      </c>
      <c r="K274" s="32">
        <f>Table5[[#This Row],[Avg]]/17</f>
        <v>5.7176470588235295</v>
      </c>
      <c r="L274" s="9"/>
    </row>
    <row r="275" spans="2:12" x14ac:dyDescent="0.35">
      <c r="B275" s="8">
        <v>264</v>
      </c>
      <c r="C275" s="8">
        <v>26</v>
      </c>
      <c r="D275" s="5" t="s">
        <v>302</v>
      </c>
      <c r="E275" s="4" t="s">
        <v>31</v>
      </c>
      <c r="F275" s="9" t="s">
        <v>1</v>
      </c>
      <c r="G275" s="10">
        <v>99</v>
      </c>
      <c r="H275" s="11">
        <v>80</v>
      </c>
      <c r="I275" s="10">
        <v>97</v>
      </c>
      <c r="J275" s="10">
        <f>AVERAGE(Table5[[#This Row],[23 Pts]:[25 Proj]])</f>
        <v>92</v>
      </c>
      <c r="K275" s="32">
        <f>Table5[[#This Row],[Avg]]/17</f>
        <v>5.4117647058823533</v>
      </c>
      <c r="L275" s="9"/>
    </row>
    <row r="276" spans="2:12" x14ac:dyDescent="0.35">
      <c r="B276" s="8">
        <v>260</v>
      </c>
      <c r="C276" s="8">
        <v>32</v>
      </c>
      <c r="D276" s="5" t="s">
        <v>266</v>
      </c>
      <c r="E276" s="4" t="s">
        <v>62</v>
      </c>
      <c r="F276" s="9" t="s">
        <v>424</v>
      </c>
      <c r="G276" s="10">
        <v>143.52000000000001</v>
      </c>
      <c r="H276" s="11">
        <v>103.34</v>
      </c>
      <c r="I276" s="10">
        <v>42.1</v>
      </c>
      <c r="J276" s="10">
        <f>AVERAGE(Table5[[#This Row],[23 Pts]:[25 Proj]])</f>
        <v>96.320000000000007</v>
      </c>
      <c r="K276" s="32">
        <f>Table5[[#This Row],[Avg]]/17</f>
        <v>5.6658823529411766</v>
      </c>
      <c r="L276" s="9"/>
    </row>
    <row r="277" spans="2:12" x14ac:dyDescent="0.35">
      <c r="B277" s="8">
        <v>266</v>
      </c>
      <c r="C277" s="8">
        <v>30</v>
      </c>
      <c r="D277" s="5" t="s">
        <v>329</v>
      </c>
      <c r="E277" s="4" t="s">
        <v>104</v>
      </c>
      <c r="F277" s="9" t="s">
        <v>117</v>
      </c>
      <c r="G277" s="10" t="s">
        <v>60</v>
      </c>
      <c r="H277" s="11">
        <v>56</v>
      </c>
      <c r="I277" s="10">
        <v>124</v>
      </c>
      <c r="J277" s="10">
        <f>AVERAGE(Table5[[#This Row],[23 Pts]:[25 Proj]])</f>
        <v>90</v>
      </c>
      <c r="K277" s="32">
        <f>Table5[[#This Row],[Avg]]/17</f>
        <v>5.2941176470588234</v>
      </c>
      <c r="L277" s="9"/>
    </row>
    <row r="278" spans="2:12" x14ac:dyDescent="0.35">
      <c r="B278" s="8">
        <v>261</v>
      </c>
      <c r="C278" s="8">
        <v>56</v>
      </c>
      <c r="D278" s="5" t="s">
        <v>123</v>
      </c>
      <c r="E278" s="4" t="s">
        <v>83</v>
      </c>
      <c r="F278" s="9" t="s">
        <v>24</v>
      </c>
      <c r="G278" s="10">
        <v>127.4</v>
      </c>
      <c r="H278" s="11">
        <v>103.4</v>
      </c>
      <c r="I278" s="10">
        <v>52.3</v>
      </c>
      <c r="J278" s="10">
        <f>AVERAGE(Table5[[#This Row],[23 Pts]:[25 Proj]])</f>
        <v>94.366666666666674</v>
      </c>
      <c r="K278" s="32">
        <f>Table5[[#This Row],[Avg]]/17</f>
        <v>5.5509803921568635</v>
      </c>
      <c r="L278" s="9"/>
    </row>
    <row r="279" spans="2:12" x14ac:dyDescent="0.35">
      <c r="B279" s="8">
        <v>262</v>
      </c>
      <c r="C279" s="8">
        <v>86</v>
      </c>
      <c r="D279" s="5" t="s">
        <v>407</v>
      </c>
      <c r="E279" s="4" t="s">
        <v>48</v>
      </c>
      <c r="F279" s="9" t="s">
        <v>35</v>
      </c>
      <c r="G279" s="10" t="s">
        <v>60</v>
      </c>
      <c r="H279" s="11" t="s">
        <v>60</v>
      </c>
      <c r="I279" s="10">
        <v>94.1</v>
      </c>
      <c r="J279" s="10">
        <f>AVERAGE(Table5[[#This Row],[23 Pts]:[25 Proj]])</f>
        <v>94.1</v>
      </c>
      <c r="K279" s="32">
        <f>Table5[[#This Row],[Avg]]/17</f>
        <v>5.5352941176470587</v>
      </c>
      <c r="L279" s="9"/>
    </row>
    <row r="280" spans="2:12" x14ac:dyDescent="0.35">
      <c r="B280" s="8">
        <v>263</v>
      </c>
      <c r="C280" s="8">
        <v>57</v>
      </c>
      <c r="D280" s="5" t="s">
        <v>190</v>
      </c>
      <c r="E280" s="4" t="s">
        <v>12</v>
      </c>
      <c r="F280" s="9" t="s">
        <v>24</v>
      </c>
      <c r="G280" s="10" t="s">
        <v>60</v>
      </c>
      <c r="H280" s="11">
        <v>94.2</v>
      </c>
      <c r="I280" s="10">
        <v>92.5</v>
      </c>
      <c r="J280" s="10">
        <f>AVERAGE(Table5[[#This Row],[23 Pts]:[25 Proj]])</f>
        <v>93.35</v>
      </c>
      <c r="K280" s="32">
        <f>Table5[[#This Row],[Avg]]/17</f>
        <v>5.4911764705882353</v>
      </c>
      <c r="L280" s="9"/>
    </row>
    <row r="281" spans="2:12" x14ac:dyDescent="0.35">
      <c r="B281" s="8">
        <v>270</v>
      </c>
      <c r="C281" s="8">
        <v>27</v>
      </c>
      <c r="D281" s="5" t="s">
        <v>298</v>
      </c>
      <c r="E281" s="4" t="s">
        <v>27</v>
      </c>
      <c r="F281" s="9" t="s">
        <v>1</v>
      </c>
      <c r="G281" s="10">
        <v>120</v>
      </c>
      <c r="H281" s="11">
        <v>81</v>
      </c>
      <c r="I281" s="10">
        <v>65</v>
      </c>
      <c r="J281" s="10">
        <f>AVERAGE(Table5[[#This Row],[23 Pts]:[25 Proj]])</f>
        <v>88.666666666666671</v>
      </c>
      <c r="K281" s="32">
        <f>Table5[[#This Row],[Avg]]/17</f>
        <v>5.215686274509804</v>
      </c>
      <c r="L281" s="9"/>
    </row>
    <row r="282" spans="2:12" x14ac:dyDescent="0.35">
      <c r="B282" s="8">
        <v>265</v>
      </c>
      <c r="C282" s="8">
        <v>87</v>
      </c>
      <c r="D282" s="5" t="s">
        <v>411</v>
      </c>
      <c r="E282" s="4" t="s">
        <v>65</v>
      </c>
      <c r="F282" s="9" t="s">
        <v>35</v>
      </c>
      <c r="G282" s="10" t="s">
        <v>60</v>
      </c>
      <c r="H282" s="11" t="s">
        <v>60</v>
      </c>
      <c r="I282" s="10">
        <v>91.4</v>
      </c>
      <c r="J282" s="10">
        <f>AVERAGE(Table5[[#This Row],[23 Pts]:[25 Proj]])</f>
        <v>91.4</v>
      </c>
      <c r="K282" s="32">
        <f>Table5[[#This Row],[Avg]]/17</f>
        <v>5.3764705882352946</v>
      </c>
      <c r="L282" s="9"/>
    </row>
    <row r="283" spans="2:12" x14ac:dyDescent="0.35">
      <c r="B283" s="8">
        <v>267</v>
      </c>
      <c r="C283" s="8">
        <v>88</v>
      </c>
      <c r="D283" s="5" t="s">
        <v>406</v>
      </c>
      <c r="E283" s="4" t="s">
        <v>52</v>
      </c>
      <c r="F283" s="9" t="s">
        <v>35</v>
      </c>
      <c r="G283" s="10">
        <v>52.7</v>
      </c>
      <c r="H283" s="11">
        <v>118.8</v>
      </c>
      <c r="I283" s="10">
        <v>97.5</v>
      </c>
      <c r="J283" s="10">
        <f>AVERAGE(Table5[[#This Row],[23 Pts]:[25 Proj]])</f>
        <v>89.666666666666671</v>
      </c>
      <c r="K283" s="32">
        <f>Table5[[#This Row],[Avg]]/17</f>
        <v>5.2745098039215685</v>
      </c>
      <c r="L283" s="9"/>
    </row>
    <row r="284" spans="2:12" x14ac:dyDescent="0.35">
      <c r="B284" s="8">
        <v>268</v>
      </c>
      <c r="C284" s="8">
        <v>33</v>
      </c>
      <c r="D284" s="5" t="s">
        <v>253</v>
      </c>
      <c r="E284" s="4" t="s">
        <v>22</v>
      </c>
      <c r="F284" s="9" t="s">
        <v>424</v>
      </c>
      <c r="G284" s="10">
        <v>70.599999999999994</v>
      </c>
      <c r="H284" s="11">
        <v>113.3</v>
      </c>
      <c r="I284" s="10">
        <v>84.5</v>
      </c>
      <c r="J284" s="10">
        <f>AVERAGE(Table5[[#This Row],[23 Pts]:[25 Proj]])</f>
        <v>89.466666666666654</v>
      </c>
      <c r="K284" s="32">
        <f>Table5[[#This Row],[Avg]]/17</f>
        <v>5.2627450980392148</v>
      </c>
      <c r="L284" s="9"/>
    </row>
    <row r="285" spans="2:12" x14ac:dyDescent="0.35">
      <c r="B285" s="8">
        <v>269</v>
      </c>
      <c r="C285" s="8">
        <v>34</v>
      </c>
      <c r="D285" s="5" t="s">
        <v>251</v>
      </c>
      <c r="E285" s="4" t="s">
        <v>104</v>
      </c>
      <c r="F285" s="9" t="s">
        <v>424</v>
      </c>
      <c r="G285" s="10" t="s">
        <v>60</v>
      </c>
      <c r="H285" s="11">
        <v>73.2</v>
      </c>
      <c r="I285" s="10">
        <v>104.9</v>
      </c>
      <c r="J285" s="10">
        <f>AVERAGE(Table5[[#This Row],[23 Pts]:[25 Proj]])</f>
        <v>89.050000000000011</v>
      </c>
      <c r="K285" s="32">
        <f>Table5[[#This Row],[Avg]]/17</f>
        <v>5.238235294117648</v>
      </c>
      <c r="L285" s="9"/>
    </row>
    <row r="286" spans="2:12" x14ac:dyDescent="0.35">
      <c r="B286" s="8">
        <v>271</v>
      </c>
      <c r="C286" s="8">
        <v>35</v>
      </c>
      <c r="D286" s="5" t="s">
        <v>202</v>
      </c>
      <c r="E286" s="4" t="s">
        <v>87</v>
      </c>
      <c r="F286" s="9" t="s">
        <v>424</v>
      </c>
      <c r="G286" s="10" t="s">
        <v>60</v>
      </c>
      <c r="H286" s="11">
        <v>68.099999999999994</v>
      </c>
      <c r="I286" s="10">
        <v>109</v>
      </c>
      <c r="J286" s="10">
        <f>AVERAGE(Table5[[#This Row],[23 Pts]:[25 Proj]])</f>
        <v>88.55</v>
      </c>
      <c r="K286" s="32">
        <f>Table5[[#This Row],[Avg]]/17</f>
        <v>5.2088235294117649</v>
      </c>
      <c r="L286" s="9"/>
    </row>
    <row r="287" spans="2:12" x14ac:dyDescent="0.35">
      <c r="B287" s="8">
        <v>272</v>
      </c>
      <c r="C287" s="8">
        <v>89</v>
      </c>
      <c r="D287" s="5" t="s">
        <v>412</v>
      </c>
      <c r="E287" s="4" t="s">
        <v>22</v>
      </c>
      <c r="F287" s="9" t="s">
        <v>35</v>
      </c>
      <c r="G287" s="10" t="s">
        <v>60</v>
      </c>
      <c r="H287" s="11" t="s">
        <v>60</v>
      </c>
      <c r="I287" s="10">
        <v>88.1</v>
      </c>
      <c r="J287" s="10">
        <f>AVERAGE(Table5[[#This Row],[23 Pts]:[25 Proj]])</f>
        <v>88.1</v>
      </c>
      <c r="K287" s="32">
        <f>Table5[[#This Row],[Avg]]/17</f>
        <v>5.1823529411764699</v>
      </c>
      <c r="L287" s="9"/>
    </row>
    <row r="288" spans="2:12" x14ac:dyDescent="0.35">
      <c r="B288" s="8">
        <v>273</v>
      </c>
      <c r="C288" s="8">
        <v>58</v>
      </c>
      <c r="D288" s="5" t="s">
        <v>127</v>
      </c>
      <c r="E288" s="4" t="s">
        <v>94</v>
      </c>
      <c r="F288" s="9" t="s">
        <v>24</v>
      </c>
      <c r="G288" s="10">
        <v>106</v>
      </c>
      <c r="H288" s="11">
        <v>97.2</v>
      </c>
      <c r="I288" s="10">
        <v>59.3</v>
      </c>
      <c r="J288" s="10">
        <f>AVERAGE(Table5[[#This Row],[23 Pts]:[25 Proj]])</f>
        <v>87.5</v>
      </c>
      <c r="K288" s="32">
        <f>Table5[[#This Row],[Avg]]/17</f>
        <v>5.1470588235294121</v>
      </c>
      <c r="L288" s="9"/>
    </row>
    <row r="289" spans="2:12" x14ac:dyDescent="0.35">
      <c r="B289" s="8">
        <v>274</v>
      </c>
      <c r="C289" s="8">
        <v>59</v>
      </c>
      <c r="D289" s="5" t="s">
        <v>192</v>
      </c>
      <c r="E289" s="4" t="s">
        <v>55</v>
      </c>
      <c r="F289" s="9" t="s">
        <v>24</v>
      </c>
      <c r="G289" s="10">
        <v>102.1</v>
      </c>
      <c r="H289" s="11">
        <v>77.400000000000006</v>
      </c>
      <c r="I289" s="10">
        <v>82.6</v>
      </c>
      <c r="J289" s="10">
        <f>AVERAGE(Table5[[#This Row],[23 Pts]:[25 Proj]])</f>
        <v>87.366666666666674</v>
      </c>
      <c r="K289" s="32">
        <f>Table5[[#This Row],[Avg]]/17</f>
        <v>5.1392156862745102</v>
      </c>
      <c r="L289" s="9"/>
    </row>
    <row r="290" spans="2:12" x14ac:dyDescent="0.35">
      <c r="B290" s="8">
        <v>280</v>
      </c>
      <c r="C290" s="8">
        <v>28</v>
      </c>
      <c r="D290" s="5" t="s">
        <v>289</v>
      </c>
      <c r="E290" s="4" t="s">
        <v>46</v>
      </c>
      <c r="F290" s="9" t="s">
        <v>1</v>
      </c>
      <c r="G290" s="10">
        <v>65</v>
      </c>
      <c r="H290" s="11">
        <v>97</v>
      </c>
      <c r="I290" s="10">
        <v>94</v>
      </c>
      <c r="J290" s="10">
        <f>AVERAGE(Table5[[#This Row],[23 Pts]:[25 Proj]])</f>
        <v>85.333333333333329</v>
      </c>
      <c r="K290" s="32">
        <f>Table5[[#This Row],[Avg]]/17</f>
        <v>5.0196078431372548</v>
      </c>
      <c r="L290" s="9"/>
    </row>
    <row r="291" spans="2:12" x14ac:dyDescent="0.35">
      <c r="B291" s="8">
        <v>281</v>
      </c>
      <c r="C291" s="8">
        <v>29</v>
      </c>
      <c r="D291" s="5" t="s">
        <v>296</v>
      </c>
      <c r="E291" s="4" t="s">
        <v>83</v>
      </c>
      <c r="F291" s="9" t="s">
        <v>1</v>
      </c>
      <c r="G291" s="10">
        <v>110</v>
      </c>
      <c r="H291" s="11">
        <v>83</v>
      </c>
      <c r="I291" s="10">
        <v>63</v>
      </c>
      <c r="J291" s="10">
        <f>AVERAGE(Table5[[#This Row],[23 Pts]:[25 Proj]])</f>
        <v>85.333333333333329</v>
      </c>
      <c r="K291" s="32">
        <f>Table5[[#This Row],[Avg]]/17</f>
        <v>5.0196078431372548</v>
      </c>
      <c r="L291" s="9"/>
    </row>
    <row r="292" spans="2:12" x14ac:dyDescent="0.35">
      <c r="B292" s="8">
        <v>275</v>
      </c>
      <c r="C292" s="8">
        <v>90</v>
      </c>
      <c r="D292" s="5" t="s">
        <v>91</v>
      </c>
      <c r="E292" s="4" t="s">
        <v>52</v>
      </c>
      <c r="F292" s="9" t="s">
        <v>35</v>
      </c>
      <c r="G292" s="10" t="s">
        <v>60</v>
      </c>
      <c r="H292" s="11" t="s">
        <v>60</v>
      </c>
      <c r="I292" s="10">
        <v>86.7</v>
      </c>
      <c r="J292" s="10">
        <f>AVERAGE(Table5[[#This Row],[23 Pts]:[25 Proj]])</f>
        <v>86.7</v>
      </c>
      <c r="K292" s="32">
        <f>Table5[[#This Row],[Avg]]/17</f>
        <v>5.1000000000000005</v>
      </c>
      <c r="L292" s="9"/>
    </row>
    <row r="293" spans="2:12" x14ac:dyDescent="0.35">
      <c r="B293" s="8">
        <v>276</v>
      </c>
      <c r="C293" s="8">
        <v>35</v>
      </c>
      <c r="D293" s="5" t="s">
        <v>106</v>
      </c>
      <c r="E293" s="4" t="s">
        <v>81</v>
      </c>
      <c r="F293" s="9" t="s">
        <v>10</v>
      </c>
      <c r="G293" s="10">
        <v>106.02</v>
      </c>
      <c r="H293" s="11">
        <v>131.94</v>
      </c>
      <c r="I293" s="10">
        <v>21.2</v>
      </c>
      <c r="J293" s="10">
        <f>AVERAGE(Table5[[#This Row],[23 Pts]:[25 Proj]])</f>
        <v>86.386666666666656</v>
      </c>
      <c r="K293" s="32">
        <f>Table5[[#This Row],[Avg]]/17</f>
        <v>5.0815686274509799</v>
      </c>
      <c r="L293" s="9"/>
    </row>
    <row r="294" spans="2:12" x14ac:dyDescent="0.35">
      <c r="B294" s="8">
        <v>277</v>
      </c>
      <c r="C294" s="8">
        <v>36</v>
      </c>
      <c r="D294" s="5" t="s">
        <v>112</v>
      </c>
      <c r="E294" s="4" t="s">
        <v>73</v>
      </c>
      <c r="F294" s="9" t="s">
        <v>10</v>
      </c>
      <c r="G294" s="10">
        <v>62.96</v>
      </c>
      <c r="H294" s="11">
        <v>142.30000000000001</v>
      </c>
      <c r="I294" s="10">
        <v>52.11</v>
      </c>
      <c r="J294" s="10">
        <f>AVERAGE(Table5[[#This Row],[23 Pts]:[25 Proj]])</f>
        <v>85.79</v>
      </c>
      <c r="K294" s="32">
        <f>Table5[[#This Row],[Avg]]/17</f>
        <v>5.0464705882352945</v>
      </c>
      <c r="L294" s="9"/>
    </row>
    <row r="295" spans="2:12" x14ac:dyDescent="0.35">
      <c r="B295" s="8">
        <v>278</v>
      </c>
      <c r="C295" s="8">
        <v>37</v>
      </c>
      <c r="D295" s="5" t="s">
        <v>175</v>
      </c>
      <c r="E295" s="4" t="s">
        <v>83</v>
      </c>
      <c r="F295" s="9" t="s">
        <v>10</v>
      </c>
      <c r="G295" s="10">
        <v>210.66</v>
      </c>
      <c r="H295" s="11">
        <v>32.840000000000003</v>
      </c>
      <c r="I295" s="10">
        <v>12.9</v>
      </c>
      <c r="J295" s="10">
        <f>AVERAGE(Table5[[#This Row],[23 Pts]:[25 Proj]])</f>
        <v>85.466666666666654</v>
      </c>
      <c r="K295" s="32">
        <f>Table5[[#This Row],[Avg]]/17</f>
        <v>5.0274509803921559</v>
      </c>
      <c r="L295" s="9"/>
    </row>
    <row r="296" spans="2:12" x14ac:dyDescent="0.35">
      <c r="B296" s="8">
        <v>286</v>
      </c>
      <c r="C296" s="8">
        <v>31</v>
      </c>
      <c r="D296" s="5" t="s">
        <v>301</v>
      </c>
      <c r="E296" s="4" t="s">
        <v>81</v>
      </c>
      <c r="F296" s="9" t="s">
        <v>1</v>
      </c>
      <c r="G296" s="10">
        <v>99</v>
      </c>
      <c r="H296" s="11">
        <v>73</v>
      </c>
      <c r="I296" s="10">
        <v>71</v>
      </c>
      <c r="J296" s="10">
        <f>AVERAGE(Table5[[#This Row],[23 Pts]:[25 Proj]])</f>
        <v>81</v>
      </c>
      <c r="K296" s="32">
        <f>Table5[[#This Row],[Avg]]/17</f>
        <v>4.7647058823529411</v>
      </c>
      <c r="L296" s="9"/>
    </row>
    <row r="297" spans="2:12" x14ac:dyDescent="0.35">
      <c r="B297" s="8">
        <v>279</v>
      </c>
      <c r="C297" s="8">
        <v>91</v>
      </c>
      <c r="D297" s="5" t="s">
        <v>415</v>
      </c>
      <c r="E297" s="4" t="s">
        <v>44</v>
      </c>
      <c r="F297" s="9" t="s">
        <v>35</v>
      </c>
      <c r="G297" s="10">
        <v>50.6</v>
      </c>
      <c r="H297" s="11">
        <v>119.9</v>
      </c>
      <c r="I297" s="10">
        <v>85.5</v>
      </c>
      <c r="J297" s="10">
        <f>AVERAGE(Table5[[#This Row],[23 Pts]:[25 Proj]])</f>
        <v>85.333333333333329</v>
      </c>
      <c r="K297" s="32">
        <f>Table5[[#This Row],[Avg]]/17</f>
        <v>5.0196078431372548</v>
      </c>
      <c r="L297" s="9"/>
    </row>
    <row r="298" spans="2:12" x14ac:dyDescent="0.35">
      <c r="B298" s="8">
        <v>283</v>
      </c>
      <c r="C298" s="8">
        <v>60</v>
      </c>
      <c r="D298" s="5" t="s">
        <v>133</v>
      </c>
      <c r="E298" s="4" t="s">
        <v>44</v>
      </c>
      <c r="F298" s="9" t="s">
        <v>24</v>
      </c>
      <c r="G298" s="10">
        <v>121.3</v>
      </c>
      <c r="H298" s="11">
        <v>81.400000000000006</v>
      </c>
      <c r="I298" s="10">
        <v>50.4</v>
      </c>
      <c r="J298" s="10">
        <f>AVERAGE(Table5[[#This Row],[23 Pts]:[25 Proj]])</f>
        <v>84.36666666666666</v>
      </c>
      <c r="K298" s="32">
        <f>Table5[[#This Row],[Avg]]/17</f>
        <v>4.9627450980392149</v>
      </c>
      <c r="L298" s="9"/>
    </row>
    <row r="299" spans="2:12" x14ac:dyDescent="0.35">
      <c r="B299" s="8">
        <v>284</v>
      </c>
      <c r="C299" s="8">
        <v>92</v>
      </c>
      <c r="D299" s="5" t="s">
        <v>414</v>
      </c>
      <c r="E299" s="4" t="s">
        <v>14</v>
      </c>
      <c r="F299" s="9" t="s">
        <v>35</v>
      </c>
      <c r="G299" s="10">
        <v>59.7</v>
      </c>
      <c r="H299" s="11">
        <v>104.2</v>
      </c>
      <c r="I299" s="10">
        <v>86.9</v>
      </c>
      <c r="J299" s="10">
        <f>AVERAGE(Table5[[#This Row],[23 Pts]:[25 Proj]])</f>
        <v>83.600000000000009</v>
      </c>
      <c r="K299" s="32">
        <f>Table5[[#This Row],[Avg]]/17</f>
        <v>4.9176470588235297</v>
      </c>
      <c r="L299" s="9"/>
    </row>
    <row r="300" spans="2:12" x14ac:dyDescent="0.35">
      <c r="B300" s="8">
        <v>285</v>
      </c>
      <c r="C300" s="8">
        <v>36</v>
      </c>
      <c r="D300" s="5" t="s">
        <v>259</v>
      </c>
      <c r="E300" s="4" t="s">
        <v>44</v>
      </c>
      <c r="F300" s="9" t="s">
        <v>424</v>
      </c>
      <c r="G300" s="10">
        <v>73.400000000000006</v>
      </c>
      <c r="H300" s="11">
        <v>104</v>
      </c>
      <c r="I300" s="10">
        <v>66.7</v>
      </c>
      <c r="J300" s="10">
        <f>AVERAGE(Table5[[#This Row],[23 Pts]:[25 Proj]])</f>
        <v>81.366666666666674</v>
      </c>
      <c r="K300" s="32">
        <f>Table5[[#This Row],[Avg]]/17</f>
        <v>4.7862745098039223</v>
      </c>
      <c r="L300" s="9"/>
    </row>
    <row r="301" spans="2:12" x14ac:dyDescent="0.35">
      <c r="B301" s="8">
        <v>287</v>
      </c>
      <c r="C301" s="8">
        <v>93</v>
      </c>
      <c r="D301" s="5" t="s">
        <v>418</v>
      </c>
      <c r="E301" s="4" t="s">
        <v>46</v>
      </c>
      <c r="F301" s="9" t="s">
        <v>35</v>
      </c>
      <c r="G301" s="10">
        <v>64.5</v>
      </c>
      <c r="H301" s="11">
        <v>90.3</v>
      </c>
      <c r="I301" s="10">
        <v>83.2</v>
      </c>
      <c r="J301" s="10">
        <f>AVERAGE(Table5[[#This Row],[23 Pts]:[25 Proj]])</f>
        <v>79.333333333333329</v>
      </c>
      <c r="K301" s="32">
        <f>Table5[[#This Row],[Avg]]/17</f>
        <v>4.6666666666666661</v>
      </c>
      <c r="L301" s="9"/>
    </row>
    <row r="302" spans="2:12" x14ac:dyDescent="0.35">
      <c r="B302" s="8">
        <v>288</v>
      </c>
      <c r="C302" s="8">
        <v>61</v>
      </c>
      <c r="D302" s="12" t="s">
        <v>195</v>
      </c>
      <c r="E302" s="13" t="s">
        <v>14</v>
      </c>
      <c r="F302" s="9" t="s">
        <v>24</v>
      </c>
      <c r="G302" s="10">
        <v>87.6</v>
      </c>
      <c r="H302" s="14">
        <v>77.3</v>
      </c>
      <c r="I302" s="10">
        <v>71</v>
      </c>
      <c r="J302" s="10">
        <f>AVERAGE(Table5[[#This Row],[23 Pts]:[25 Proj]])</f>
        <v>78.633333333333326</v>
      </c>
      <c r="K302" s="32">
        <f>Table5[[#This Row],[Avg]]/17</f>
        <v>4.6254901960784309</v>
      </c>
      <c r="L302" s="9"/>
    </row>
    <row r="303" spans="2:12" x14ac:dyDescent="0.35">
      <c r="B303" s="8">
        <v>290</v>
      </c>
      <c r="C303" s="8">
        <v>95</v>
      </c>
      <c r="D303" s="15" t="s">
        <v>401</v>
      </c>
      <c r="E303" s="4" t="s">
        <v>38</v>
      </c>
      <c r="F303" s="33" t="s">
        <v>35</v>
      </c>
      <c r="G303" s="6" t="s">
        <v>60</v>
      </c>
      <c r="H303" s="6">
        <v>52.5</v>
      </c>
      <c r="I303" s="6">
        <v>104.5</v>
      </c>
      <c r="J303" s="10">
        <f>AVERAGE(Table5[[#This Row],[23 Pts]:[25 Proj]])</f>
        <v>78.5</v>
      </c>
      <c r="K303" s="32">
        <f>Table5[[#This Row],[Avg]]/17</f>
        <v>4.617647058823529</v>
      </c>
      <c r="L303" s="9"/>
    </row>
    <row r="304" spans="2:12" x14ac:dyDescent="0.35">
      <c r="B304" s="8">
        <v>295</v>
      </c>
      <c r="C304" s="8">
        <v>31</v>
      </c>
      <c r="D304" s="15" t="s">
        <v>327</v>
      </c>
      <c r="E304" s="4" t="s">
        <v>73</v>
      </c>
      <c r="F304" s="33" t="s">
        <v>117</v>
      </c>
      <c r="G304" s="6" t="s">
        <v>60</v>
      </c>
      <c r="H304" s="6">
        <v>26</v>
      </c>
      <c r="I304" s="6">
        <v>126</v>
      </c>
      <c r="J304" s="10">
        <f>AVERAGE(Table5[[#This Row],[23 Pts]:[25 Proj]])</f>
        <v>76</v>
      </c>
      <c r="K304" s="32">
        <f>Table5[[#This Row],[Avg]]/17</f>
        <v>4.4705882352941178</v>
      </c>
      <c r="L304" s="9"/>
    </row>
    <row r="305" spans="2:12" x14ac:dyDescent="0.35">
      <c r="B305" s="8">
        <v>291</v>
      </c>
      <c r="C305" s="8">
        <v>96</v>
      </c>
      <c r="D305" s="15" t="s">
        <v>408</v>
      </c>
      <c r="E305" s="4" t="s">
        <v>85</v>
      </c>
      <c r="F305" s="33" t="s">
        <v>35</v>
      </c>
      <c r="G305" s="6">
        <v>56.5</v>
      </c>
      <c r="H305" s="6">
        <v>84.5</v>
      </c>
      <c r="I305" s="6">
        <v>94.1</v>
      </c>
      <c r="J305" s="10">
        <f>AVERAGE(Table5[[#This Row],[23 Pts]:[25 Proj]])</f>
        <v>78.36666666666666</v>
      </c>
      <c r="K305" s="32">
        <f>Table5[[#This Row],[Avg]]/17</f>
        <v>4.6098039215686271</v>
      </c>
      <c r="L305" s="9"/>
    </row>
    <row r="306" spans="2:12" x14ac:dyDescent="0.35">
      <c r="B306" s="8">
        <v>298</v>
      </c>
      <c r="C306" s="8">
        <v>32</v>
      </c>
      <c r="D306" s="15" t="s">
        <v>331</v>
      </c>
      <c r="E306" s="4" t="s">
        <v>87</v>
      </c>
      <c r="F306" s="33" t="s">
        <v>117</v>
      </c>
      <c r="G306" s="6">
        <v>50</v>
      </c>
      <c r="H306" s="6">
        <v>50</v>
      </c>
      <c r="I306" s="6">
        <v>119</v>
      </c>
      <c r="J306" s="10">
        <f>AVERAGE(Table5[[#This Row],[23 Pts]:[25 Proj]])</f>
        <v>73</v>
      </c>
      <c r="K306" s="32">
        <f>Table5[[#This Row],[Avg]]/17</f>
        <v>4.2941176470588234</v>
      </c>
      <c r="L306" s="9"/>
    </row>
    <row r="307" spans="2:12" x14ac:dyDescent="0.35">
      <c r="B307" s="8">
        <v>293</v>
      </c>
      <c r="C307" s="8">
        <v>37</v>
      </c>
      <c r="D307" s="15" t="s">
        <v>254</v>
      </c>
      <c r="E307" s="4" t="s">
        <v>85</v>
      </c>
      <c r="F307" s="33" t="s">
        <v>424</v>
      </c>
      <c r="G307" s="6" t="s">
        <v>60</v>
      </c>
      <c r="H307" s="6">
        <v>78.5</v>
      </c>
      <c r="I307" s="6">
        <v>75.099999999999994</v>
      </c>
      <c r="J307" s="10">
        <f>AVERAGE(Table5[[#This Row],[23 Pts]:[25 Proj]])</f>
        <v>76.8</v>
      </c>
      <c r="K307" s="32">
        <f>Table5[[#This Row],[Avg]]/17</f>
        <v>4.5176470588235293</v>
      </c>
      <c r="L307" s="9"/>
    </row>
    <row r="308" spans="2:12" x14ac:dyDescent="0.35">
      <c r="B308" s="8">
        <v>294</v>
      </c>
      <c r="C308" s="8">
        <v>97</v>
      </c>
      <c r="D308" s="15" t="s">
        <v>416</v>
      </c>
      <c r="E308" s="4" t="s">
        <v>94</v>
      </c>
      <c r="F308" s="33" t="s">
        <v>35</v>
      </c>
      <c r="G308" s="6" t="s">
        <v>60</v>
      </c>
      <c r="H308" s="6">
        <v>67.099999999999994</v>
      </c>
      <c r="I308" s="6">
        <v>85.3</v>
      </c>
      <c r="J308" s="10">
        <f>AVERAGE(Table5[[#This Row],[23 Pts]:[25 Proj]])</f>
        <v>76.199999999999989</v>
      </c>
      <c r="K308" s="32">
        <f>Table5[[#This Row],[Avg]]/17</f>
        <v>4.4823529411764698</v>
      </c>
      <c r="L308" s="9"/>
    </row>
    <row r="309" spans="2:12" x14ac:dyDescent="0.35">
      <c r="B309" s="8">
        <v>299</v>
      </c>
      <c r="C309" s="8">
        <v>98</v>
      </c>
      <c r="D309" s="15" t="s">
        <v>410</v>
      </c>
      <c r="E309" s="4" t="s">
        <v>83</v>
      </c>
      <c r="F309" s="33" t="s">
        <v>35</v>
      </c>
      <c r="G309" s="6">
        <v>3.9</v>
      </c>
      <c r="H309" s="6">
        <v>121.9</v>
      </c>
      <c r="I309" s="6">
        <v>92.7</v>
      </c>
      <c r="J309" s="10">
        <f>AVERAGE(Table5[[#This Row],[23 Pts]:[25 Proj]])</f>
        <v>72.833333333333329</v>
      </c>
      <c r="K309" s="32">
        <f>Table5[[#This Row],[Avg]]/17</f>
        <v>4.284313725490196</v>
      </c>
      <c r="L309" s="9"/>
    </row>
    <row r="310" spans="2:12" x14ac:dyDescent="0.35">
      <c r="B310" s="8">
        <v>300</v>
      </c>
      <c r="C310" s="8">
        <v>99</v>
      </c>
      <c r="D310" s="15" t="s">
        <v>394</v>
      </c>
      <c r="E310" s="4" t="s">
        <v>27</v>
      </c>
      <c r="F310" s="33" t="s">
        <v>35</v>
      </c>
      <c r="G310" s="6">
        <v>34.96</v>
      </c>
      <c r="H310" s="6">
        <v>67.400000000000006</v>
      </c>
      <c r="I310" s="6">
        <v>115.4</v>
      </c>
      <c r="J310" s="10">
        <f>AVERAGE(Table5[[#This Row],[23 Pts]:[25 Proj]])</f>
        <v>72.586666666666673</v>
      </c>
      <c r="K310" s="32">
        <f>Table5[[#This Row],[Avg]]/17</f>
        <v>4.2698039215686281</v>
      </c>
      <c r="L310" s="9"/>
    </row>
    <row r="311" spans="2:12" x14ac:dyDescent="0.35">
      <c r="B311" s="8">
        <v>301</v>
      </c>
      <c r="C311" s="8">
        <v>39</v>
      </c>
      <c r="D311" s="15" t="s">
        <v>260</v>
      </c>
      <c r="E311" s="4" t="s">
        <v>79</v>
      </c>
      <c r="F311" s="33" t="s">
        <v>424</v>
      </c>
      <c r="G311" s="6">
        <v>40.200000000000003</v>
      </c>
      <c r="H311" s="6">
        <v>110.1</v>
      </c>
      <c r="I311" s="6">
        <v>66.599999999999994</v>
      </c>
      <c r="J311" s="10">
        <f>AVERAGE(Table5[[#This Row],[23 Pts]:[25 Proj]])</f>
        <v>72.3</v>
      </c>
      <c r="K311" s="32">
        <f>Table5[[#This Row],[Avg]]/17</f>
        <v>4.2529411764705882</v>
      </c>
      <c r="L311" s="9"/>
    </row>
    <row r="312" spans="2:12" x14ac:dyDescent="0.35">
      <c r="B312" s="8">
        <v>303</v>
      </c>
      <c r="C312" s="8">
        <v>40</v>
      </c>
      <c r="D312" s="15" t="s">
        <v>256</v>
      </c>
      <c r="E312" s="4" t="s">
        <v>34</v>
      </c>
      <c r="F312" s="33" t="s">
        <v>424</v>
      </c>
      <c r="G312" s="6" t="s">
        <v>60</v>
      </c>
      <c r="H312" s="6" t="s">
        <v>60</v>
      </c>
      <c r="I312" s="6">
        <v>71.5</v>
      </c>
      <c r="J312" s="10">
        <f>AVERAGE(Table5[[#This Row],[23 Pts]:[25 Proj]])</f>
        <v>71.5</v>
      </c>
      <c r="K312" s="32">
        <f>Table5[[#This Row],[Avg]]/17</f>
        <v>4.2058823529411766</v>
      </c>
      <c r="L312" s="9"/>
    </row>
    <row r="313" spans="2:12" x14ac:dyDescent="0.35">
      <c r="B313" s="8">
        <v>304</v>
      </c>
      <c r="C313" s="8">
        <v>65</v>
      </c>
      <c r="D313" s="15" t="s">
        <v>214</v>
      </c>
      <c r="E313" s="4" t="s">
        <v>12</v>
      </c>
      <c r="F313" s="33" t="s">
        <v>24</v>
      </c>
      <c r="G313" s="6">
        <v>41</v>
      </c>
      <c r="H313" s="6">
        <v>125.2</v>
      </c>
      <c r="I313" s="6">
        <v>43.7</v>
      </c>
      <c r="J313" s="10">
        <f>AVERAGE(Table5[[#This Row],[23 Pts]:[25 Proj]])</f>
        <v>69.966666666666654</v>
      </c>
      <c r="K313" s="32">
        <f>Table5[[#This Row],[Avg]]/17</f>
        <v>4.1156862745098035</v>
      </c>
      <c r="L313" s="9"/>
    </row>
    <row r="314" spans="2:12" x14ac:dyDescent="0.35">
      <c r="B314" s="8">
        <v>305</v>
      </c>
      <c r="C314" s="8">
        <v>66</v>
      </c>
      <c r="D314" s="15" t="s">
        <v>196</v>
      </c>
      <c r="E314" s="4" t="s">
        <v>62</v>
      </c>
      <c r="F314" s="33" t="s">
        <v>24</v>
      </c>
      <c r="G314" s="6" t="s">
        <v>60</v>
      </c>
      <c r="H314" s="6" t="s">
        <v>60</v>
      </c>
      <c r="I314" s="6">
        <v>69.599999999999994</v>
      </c>
      <c r="J314" s="10">
        <f>AVERAGE(Table5[[#This Row],[23 Pts]:[25 Proj]])</f>
        <v>69.599999999999994</v>
      </c>
      <c r="K314" s="32">
        <f>Table5[[#This Row],[Avg]]/17</f>
        <v>4.0941176470588232</v>
      </c>
      <c r="L314" s="9"/>
    </row>
    <row r="315" spans="2:12" x14ac:dyDescent="0.35">
      <c r="B315" s="8">
        <v>306</v>
      </c>
      <c r="C315" s="8">
        <v>41</v>
      </c>
      <c r="D315" s="15" t="s">
        <v>257</v>
      </c>
      <c r="E315" s="4" t="s">
        <v>38</v>
      </c>
      <c r="F315" s="33" t="s">
        <v>424</v>
      </c>
      <c r="G315" s="6">
        <v>108.5</v>
      </c>
      <c r="H315" s="6">
        <v>26.6</v>
      </c>
      <c r="I315" s="6">
        <v>71.099999999999994</v>
      </c>
      <c r="J315" s="10">
        <f>AVERAGE(Table5[[#This Row],[23 Pts]:[25 Proj]])</f>
        <v>68.733333333333334</v>
      </c>
      <c r="K315" s="32">
        <f>Table5[[#This Row],[Avg]]/17</f>
        <v>4.0431372549019606</v>
      </c>
      <c r="L315" s="9"/>
    </row>
    <row r="316" spans="2:12" x14ac:dyDescent="0.35">
      <c r="B316" s="8">
        <v>307</v>
      </c>
      <c r="C316" s="8">
        <v>67</v>
      </c>
      <c r="D316" s="15" t="s">
        <v>215</v>
      </c>
      <c r="E316" s="4" t="s">
        <v>52</v>
      </c>
      <c r="F316" s="33" t="s">
        <v>24</v>
      </c>
      <c r="G316" s="6">
        <v>97.38</v>
      </c>
      <c r="H316" s="6">
        <v>62.6</v>
      </c>
      <c r="I316" s="6">
        <v>42.7</v>
      </c>
      <c r="J316" s="10">
        <f>AVERAGE(Table5[[#This Row],[23 Pts]:[25 Proj]])</f>
        <v>67.56</v>
      </c>
      <c r="K316" s="32">
        <f>Table5[[#This Row],[Avg]]/17</f>
        <v>3.9741176470588235</v>
      </c>
      <c r="L316" s="9"/>
    </row>
    <row r="317" spans="2:12" x14ac:dyDescent="0.35">
      <c r="B317" s="8">
        <v>308</v>
      </c>
      <c r="C317" s="8">
        <v>38</v>
      </c>
      <c r="D317" s="15" t="s">
        <v>108</v>
      </c>
      <c r="E317" s="4" t="s">
        <v>34</v>
      </c>
      <c r="F317" s="33" t="s">
        <v>10</v>
      </c>
      <c r="G317" s="6">
        <v>90.8</v>
      </c>
      <c r="H317" s="6">
        <v>79.72</v>
      </c>
      <c r="I317" s="6">
        <v>29.92</v>
      </c>
      <c r="J317" s="10">
        <f>AVERAGE(Table5[[#This Row],[23 Pts]:[25 Proj]])</f>
        <v>66.813333333333333</v>
      </c>
      <c r="K317" s="32">
        <f>Table5[[#This Row],[Avg]]/17</f>
        <v>3.9301960784313725</v>
      </c>
      <c r="L317" s="9"/>
    </row>
    <row r="318" spans="2:12" x14ac:dyDescent="0.35">
      <c r="B318" s="8">
        <v>309</v>
      </c>
      <c r="C318" s="8">
        <v>42</v>
      </c>
      <c r="D318" s="15" t="s">
        <v>268</v>
      </c>
      <c r="E318" s="4" t="s">
        <v>83</v>
      </c>
      <c r="F318" s="33" t="s">
        <v>424</v>
      </c>
      <c r="G318" s="6">
        <v>48.4</v>
      </c>
      <c r="H318" s="6">
        <v>108.6</v>
      </c>
      <c r="I318" s="6">
        <v>40.200000000000003</v>
      </c>
      <c r="J318" s="10">
        <f>AVERAGE(Table5[[#This Row],[23 Pts]:[25 Proj]])</f>
        <v>65.733333333333334</v>
      </c>
      <c r="K318" s="32">
        <f>Table5[[#This Row],[Avg]]/17</f>
        <v>3.8666666666666667</v>
      </c>
      <c r="L318" s="9"/>
    </row>
    <row r="319" spans="2:12" x14ac:dyDescent="0.35">
      <c r="B319" s="8">
        <v>310</v>
      </c>
      <c r="C319" s="8">
        <v>100</v>
      </c>
      <c r="D319" s="15" t="s">
        <v>413</v>
      </c>
      <c r="E319" s="4" t="s">
        <v>51</v>
      </c>
      <c r="F319" s="33" t="s">
        <v>35</v>
      </c>
      <c r="G319" s="6">
        <v>5.9</v>
      </c>
      <c r="H319" s="6">
        <v>103</v>
      </c>
      <c r="I319" s="6">
        <v>88.1</v>
      </c>
      <c r="J319" s="10">
        <f>AVERAGE(Table5[[#This Row],[23 Pts]:[25 Proj]])</f>
        <v>65.666666666666671</v>
      </c>
      <c r="K319" s="32">
        <f>Table5[[#This Row],[Avg]]/17</f>
        <v>3.8627450980392162</v>
      </c>
      <c r="L319" s="9"/>
    </row>
    <row r="320" spans="2:12" x14ac:dyDescent="0.35">
      <c r="B320" s="8">
        <v>313</v>
      </c>
      <c r="C320" s="8">
        <v>32</v>
      </c>
      <c r="D320" s="15" t="s">
        <v>300</v>
      </c>
      <c r="E320" s="4" t="s">
        <v>104</v>
      </c>
      <c r="F320" s="33" t="s">
        <v>1</v>
      </c>
      <c r="G320" s="6">
        <v>71</v>
      </c>
      <c r="H320" s="6">
        <v>75</v>
      </c>
      <c r="I320" s="6">
        <v>41</v>
      </c>
      <c r="J320" s="10">
        <f>AVERAGE(Table5[[#This Row],[23 Pts]:[25 Proj]])</f>
        <v>62.333333333333336</v>
      </c>
      <c r="K320" s="32">
        <f>Table5[[#This Row],[Avg]]/17</f>
        <v>3.666666666666667</v>
      </c>
      <c r="L320" s="9"/>
    </row>
    <row r="321" spans="2:12" x14ac:dyDescent="0.35">
      <c r="B321" s="8">
        <v>311</v>
      </c>
      <c r="C321" s="8">
        <v>68</v>
      </c>
      <c r="D321" s="15" t="s">
        <v>131</v>
      </c>
      <c r="E321" s="4" t="s">
        <v>73</v>
      </c>
      <c r="F321" s="33" t="s">
        <v>24</v>
      </c>
      <c r="G321" s="6">
        <v>112.5</v>
      </c>
      <c r="H321" s="6">
        <v>31.5</v>
      </c>
      <c r="I321" s="6">
        <v>46.9</v>
      </c>
      <c r="J321" s="10">
        <f>AVERAGE(Table5[[#This Row],[23 Pts]:[25 Proj]])</f>
        <v>63.633333333333333</v>
      </c>
      <c r="K321" s="32">
        <f>Table5[[#This Row],[Avg]]/17</f>
        <v>3.7431372549019608</v>
      </c>
      <c r="L321" s="9"/>
    </row>
    <row r="322" spans="2:12" x14ac:dyDescent="0.35">
      <c r="B322" s="8">
        <v>312</v>
      </c>
      <c r="C322" s="8">
        <v>39</v>
      </c>
      <c r="D322" s="15" t="s">
        <v>165</v>
      </c>
      <c r="E322" s="4" t="s">
        <v>62</v>
      </c>
      <c r="F322" s="33" t="s">
        <v>10</v>
      </c>
      <c r="G322" s="6" t="s">
        <v>60</v>
      </c>
      <c r="H322" s="6">
        <v>72.28</v>
      </c>
      <c r="I322" s="6">
        <v>54.87</v>
      </c>
      <c r="J322" s="10">
        <f>AVERAGE(Table5[[#This Row],[23 Pts]:[25 Proj]])</f>
        <v>63.575000000000003</v>
      </c>
      <c r="K322" s="32">
        <f>Table5[[#This Row],[Avg]]/17</f>
        <v>3.7397058823529412</v>
      </c>
      <c r="L322" s="9"/>
    </row>
    <row r="323" spans="2:12" x14ac:dyDescent="0.35">
      <c r="B323" s="8">
        <v>314</v>
      </c>
      <c r="C323" s="8">
        <v>69</v>
      </c>
      <c r="D323" s="15" t="s">
        <v>189</v>
      </c>
      <c r="E323" s="4" t="s">
        <v>21</v>
      </c>
      <c r="F323" s="33" t="s">
        <v>24</v>
      </c>
      <c r="G323" s="6" t="s">
        <v>60</v>
      </c>
      <c r="H323" s="6">
        <v>26.7</v>
      </c>
      <c r="I323" s="6">
        <v>96.9</v>
      </c>
      <c r="J323" s="10">
        <f>AVERAGE(Table5[[#This Row],[23 Pts]:[25 Proj]])</f>
        <v>61.800000000000004</v>
      </c>
      <c r="K323" s="32">
        <f>Table5[[#This Row],[Avg]]/17</f>
        <v>3.6352941176470592</v>
      </c>
      <c r="L323" s="9"/>
    </row>
    <row r="324" spans="2:12" x14ac:dyDescent="0.35">
      <c r="B324" s="8">
        <v>315</v>
      </c>
      <c r="C324" s="8">
        <v>40</v>
      </c>
      <c r="D324" s="15" t="s">
        <v>164</v>
      </c>
      <c r="E324" s="4" t="s">
        <v>87</v>
      </c>
      <c r="F324" s="33" t="s">
        <v>10</v>
      </c>
      <c r="G324" s="6">
        <v>14.96</v>
      </c>
      <c r="H324" s="6">
        <v>143.13999999999999</v>
      </c>
      <c r="I324" s="6">
        <v>26.45</v>
      </c>
      <c r="J324" s="10">
        <f>AVERAGE(Table5[[#This Row],[23 Pts]:[25 Proj]])</f>
        <v>61.516666666666659</v>
      </c>
      <c r="K324" s="32">
        <f>Table5[[#This Row],[Avg]]/17</f>
        <v>3.6186274509803917</v>
      </c>
      <c r="L324" s="9"/>
    </row>
    <row r="325" spans="2:12" x14ac:dyDescent="0.35">
      <c r="B325" s="8">
        <v>316</v>
      </c>
      <c r="C325" s="8">
        <v>70</v>
      </c>
      <c r="D325" s="15" t="s">
        <v>202</v>
      </c>
      <c r="E325" s="4" t="s">
        <v>9</v>
      </c>
      <c r="F325" s="33" t="s">
        <v>24</v>
      </c>
      <c r="G325" s="6">
        <v>32.4</v>
      </c>
      <c r="H325" s="6">
        <v>91.7</v>
      </c>
      <c r="I325" s="6">
        <v>56.7</v>
      </c>
      <c r="J325" s="10">
        <f>AVERAGE(Table5[[#This Row],[23 Pts]:[25 Proj]])</f>
        <v>60.266666666666673</v>
      </c>
      <c r="K325" s="32">
        <f>Table5[[#This Row],[Avg]]/17</f>
        <v>3.5450980392156866</v>
      </c>
      <c r="L325" s="9"/>
    </row>
    <row r="326" spans="2:12" x14ac:dyDescent="0.35">
      <c r="B326" s="8">
        <v>317</v>
      </c>
      <c r="C326" s="8">
        <v>43</v>
      </c>
      <c r="D326" s="15" t="s">
        <v>262</v>
      </c>
      <c r="E326" s="4" t="s">
        <v>79</v>
      </c>
      <c r="F326" s="33" t="s">
        <v>424</v>
      </c>
      <c r="G326" s="6" t="s">
        <v>60</v>
      </c>
      <c r="H326" s="6" t="s">
        <v>60</v>
      </c>
      <c r="I326" s="6">
        <v>60.2</v>
      </c>
      <c r="J326" s="10">
        <f>AVERAGE(Table5[[#This Row],[23 Pts]:[25 Proj]])</f>
        <v>60.2</v>
      </c>
      <c r="K326" s="32">
        <f>Table5[[#This Row],[Avg]]/17</f>
        <v>3.5411764705882356</v>
      </c>
      <c r="L326" s="9"/>
    </row>
    <row r="327" spans="2:12" x14ac:dyDescent="0.35">
      <c r="B327" s="8">
        <v>318</v>
      </c>
      <c r="C327" s="8">
        <v>71</v>
      </c>
      <c r="D327" s="15" t="s">
        <v>207</v>
      </c>
      <c r="E327" s="4" t="s">
        <v>48</v>
      </c>
      <c r="F327" s="33" t="s">
        <v>24</v>
      </c>
      <c r="G327" s="6">
        <v>82.7</v>
      </c>
      <c r="H327" s="6">
        <v>43.5</v>
      </c>
      <c r="I327" s="6">
        <v>51.1</v>
      </c>
      <c r="J327" s="10">
        <f>AVERAGE(Table5[[#This Row],[23 Pts]:[25 Proj]])</f>
        <v>59.1</v>
      </c>
      <c r="K327" s="32">
        <f>Table5[[#This Row],[Avg]]/17</f>
        <v>3.4764705882352942</v>
      </c>
      <c r="L327" s="9"/>
    </row>
    <row r="328" spans="2:12" x14ac:dyDescent="0.35">
      <c r="B328" s="8">
        <v>319</v>
      </c>
      <c r="C328" s="8">
        <v>44</v>
      </c>
      <c r="D328" s="15" t="s">
        <v>258</v>
      </c>
      <c r="E328" s="4" t="s">
        <v>65</v>
      </c>
      <c r="F328" s="33" t="s">
        <v>424</v>
      </c>
      <c r="G328" s="6">
        <v>69.400000000000006</v>
      </c>
      <c r="H328" s="6">
        <v>36.6</v>
      </c>
      <c r="I328" s="6">
        <v>69.5</v>
      </c>
      <c r="J328" s="10">
        <f>AVERAGE(Table5[[#This Row],[23 Pts]:[25 Proj]])</f>
        <v>58.5</v>
      </c>
      <c r="K328" s="32">
        <f>Table5[[#This Row],[Avg]]/17</f>
        <v>3.4411764705882355</v>
      </c>
      <c r="L328" s="9"/>
    </row>
    <row r="329" spans="2:12" x14ac:dyDescent="0.35">
      <c r="B329" s="8">
        <v>320</v>
      </c>
      <c r="C329" s="8">
        <v>41</v>
      </c>
      <c r="D329" s="15" t="s">
        <v>162</v>
      </c>
      <c r="E329" s="4" t="s">
        <v>87</v>
      </c>
      <c r="F329" s="33" t="s">
        <v>10</v>
      </c>
      <c r="G329" s="6" t="s">
        <v>60</v>
      </c>
      <c r="H329" s="6" t="s">
        <v>60</v>
      </c>
      <c r="I329" s="6">
        <v>57.19</v>
      </c>
      <c r="J329" s="10">
        <f>AVERAGE(Table5[[#This Row],[23 Pts]:[25 Proj]])</f>
        <v>57.19</v>
      </c>
      <c r="K329" s="32">
        <f>Table5[[#This Row],[Avg]]/17</f>
        <v>3.3641176470588232</v>
      </c>
      <c r="L329" s="9"/>
    </row>
    <row r="330" spans="2:12" x14ac:dyDescent="0.35">
      <c r="B330" s="8">
        <v>321</v>
      </c>
      <c r="C330" s="8">
        <v>45</v>
      </c>
      <c r="D330" s="15" t="s">
        <v>264</v>
      </c>
      <c r="E330" s="4" t="s">
        <v>9</v>
      </c>
      <c r="F330" s="33" t="s">
        <v>424</v>
      </c>
      <c r="G330" s="6">
        <v>54.6</v>
      </c>
      <c r="H330" s="6">
        <v>59.1</v>
      </c>
      <c r="I330" s="6">
        <v>57.7</v>
      </c>
      <c r="J330" s="10">
        <f>AVERAGE(Table5[[#This Row],[23 Pts]:[25 Proj]])</f>
        <v>57.133333333333333</v>
      </c>
      <c r="K330" s="32">
        <f>Table5[[#This Row],[Avg]]/17</f>
        <v>3.3607843137254902</v>
      </c>
      <c r="L330" s="9"/>
    </row>
    <row r="331" spans="2:12" x14ac:dyDescent="0.35">
      <c r="B331" s="8">
        <v>322</v>
      </c>
      <c r="C331" s="8">
        <v>72</v>
      </c>
      <c r="D331" s="15" t="s">
        <v>225</v>
      </c>
      <c r="E331" s="4" t="s">
        <v>62</v>
      </c>
      <c r="F331" s="33" t="s">
        <v>24</v>
      </c>
      <c r="G331" s="6">
        <v>46.7</v>
      </c>
      <c r="H331" s="6">
        <v>93.2</v>
      </c>
      <c r="I331" s="6">
        <v>30.6</v>
      </c>
      <c r="J331" s="10">
        <f>AVERAGE(Table5[[#This Row],[23 Pts]:[25 Proj]])</f>
        <v>56.833333333333336</v>
      </c>
      <c r="K331" s="32">
        <f>Table5[[#This Row],[Avg]]/17</f>
        <v>3.3431372549019609</v>
      </c>
      <c r="L331" s="9"/>
    </row>
    <row r="332" spans="2:12" x14ac:dyDescent="0.35">
      <c r="B332" s="8">
        <v>323</v>
      </c>
      <c r="C332" s="8">
        <v>46</v>
      </c>
      <c r="D332" s="15" t="s">
        <v>265</v>
      </c>
      <c r="E332" s="4" t="s">
        <v>38</v>
      </c>
      <c r="F332" s="33" t="s">
        <v>424</v>
      </c>
      <c r="G332" s="6" t="s">
        <v>60</v>
      </c>
      <c r="H332" s="6" t="s">
        <v>60</v>
      </c>
      <c r="I332" s="6">
        <v>56.6</v>
      </c>
      <c r="J332" s="10">
        <f>AVERAGE(Table5[[#This Row],[23 Pts]:[25 Proj]])</f>
        <v>56.6</v>
      </c>
      <c r="K332" s="32">
        <f>Table5[[#This Row],[Avg]]/17</f>
        <v>3.3294117647058825</v>
      </c>
      <c r="L332" s="9"/>
    </row>
    <row r="333" spans="2:12" x14ac:dyDescent="0.35">
      <c r="B333" s="8">
        <v>324</v>
      </c>
      <c r="C333" s="8">
        <v>42</v>
      </c>
      <c r="D333" s="15" t="s">
        <v>166</v>
      </c>
      <c r="E333" s="4" t="s">
        <v>34</v>
      </c>
      <c r="F333" s="33" t="s">
        <v>10</v>
      </c>
      <c r="G333" s="6">
        <v>114.2</v>
      </c>
      <c r="H333" s="6">
        <v>26.14</v>
      </c>
      <c r="I333" s="6">
        <v>28.34</v>
      </c>
      <c r="J333" s="10">
        <f>AVERAGE(Table5[[#This Row],[23 Pts]:[25 Proj]])</f>
        <v>56.226666666666667</v>
      </c>
      <c r="K333" s="32">
        <f>Table5[[#This Row],[Avg]]/17</f>
        <v>3.307450980392157</v>
      </c>
      <c r="L333" s="9"/>
    </row>
    <row r="334" spans="2:12" x14ac:dyDescent="0.35">
      <c r="B334" s="8">
        <v>325</v>
      </c>
      <c r="C334" s="8">
        <v>73</v>
      </c>
      <c r="D334" s="16" t="s">
        <v>126</v>
      </c>
      <c r="E334" s="13" t="s">
        <v>38</v>
      </c>
      <c r="F334" s="33" t="s">
        <v>24</v>
      </c>
      <c r="G334" s="6" t="s">
        <v>60</v>
      </c>
      <c r="H334" s="6">
        <v>33.5</v>
      </c>
      <c r="I334" s="6">
        <v>78.5</v>
      </c>
      <c r="J334" s="10">
        <f>AVERAGE(Table5[[#This Row],[23 Pts]:[25 Proj]])</f>
        <v>56</v>
      </c>
      <c r="K334" s="32">
        <f>Table5[[#This Row],[Avg]]/17</f>
        <v>3.2941176470588234</v>
      </c>
      <c r="L334" s="9"/>
    </row>
    <row r="335" spans="2:12" x14ac:dyDescent="0.35">
      <c r="B335" s="8">
        <v>326</v>
      </c>
      <c r="C335" s="8">
        <v>74</v>
      </c>
      <c r="D335" s="15" t="s">
        <v>216</v>
      </c>
      <c r="E335" s="4" t="s">
        <v>46</v>
      </c>
      <c r="F335" s="33" t="s">
        <v>24</v>
      </c>
      <c r="G335" s="11">
        <v>73.3</v>
      </c>
      <c r="H335" s="6">
        <v>54.7</v>
      </c>
      <c r="I335" s="6">
        <v>39.299999999999997</v>
      </c>
      <c r="J335" s="10">
        <f>AVERAGE(Table5[[#This Row],[23 Pts]:[25 Proj]])</f>
        <v>55.766666666666673</v>
      </c>
      <c r="K335" s="32">
        <f>Table5[[#This Row],[Avg]]/17</f>
        <v>3.2803921568627454</v>
      </c>
      <c r="L335" s="9"/>
    </row>
    <row r="336" spans="2:12" x14ac:dyDescent="0.35">
      <c r="B336" s="8">
        <v>327</v>
      </c>
      <c r="C336" s="8">
        <v>75</v>
      </c>
      <c r="D336" s="15" t="s">
        <v>203</v>
      </c>
      <c r="E336" s="4" t="s">
        <v>55</v>
      </c>
      <c r="F336" s="33" t="s">
        <v>24</v>
      </c>
      <c r="G336" s="11" t="s">
        <v>60</v>
      </c>
      <c r="H336" s="6" t="s">
        <v>60</v>
      </c>
      <c r="I336" s="6">
        <v>55.6</v>
      </c>
      <c r="J336" s="10">
        <f>AVERAGE(Table5[[#This Row],[23 Pts]:[25 Proj]])</f>
        <v>55.6</v>
      </c>
      <c r="K336" s="32">
        <f>Table5[[#This Row],[Avg]]/17</f>
        <v>3.2705882352941176</v>
      </c>
      <c r="L336" s="9"/>
    </row>
    <row r="337" spans="2:12" x14ac:dyDescent="0.35">
      <c r="B337" s="8">
        <v>328</v>
      </c>
      <c r="C337" s="8">
        <v>47</v>
      </c>
      <c r="D337" s="15" t="s">
        <v>270</v>
      </c>
      <c r="E337" s="4" t="s">
        <v>51</v>
      </c>
      <c r="F337" s="33" t="s">
        <v>424</v>
      </c>
      <c r="G337" s="11">
        <v>53.3</v>
      </c>
      <c r="H337" s="6">
        <v>65.8</v>
      </c>
      <c r="I337" s="6">
        <v>45.5</v>
      </c>
      <c r="J337" s="10">
        <f>AVERAGE(Table5[[#This Row],[23 Pts]:[25 Proj]])</f>
        <v>54.866666666666667</v>
      </c>
      <c r="K337" s="32">
        <f>Table5[[#This Row],[Avg]]/17</f>
        <v>3.2274509803921569</v>
      </c>
      <c r="L337" s="9"/>
    </row>
    <row r="338" spans="2:12" x14ac:dyDescent="0.35">
      <c r="B338" s="8">
        <v>329</v>
      </c>
      <c r="C338" s="8">
        <v>43</v>
      </c>
      <c r="D338" s="15" t="s">
        <v>121</v>
      </c>
      <c r="E338" s="4" t="s">
        <v>44</v>
      </c>
      <c r="F338" s="33" t="s">
        <v>10</v>
      </c>
      <c r="G338" s="11">
        <v>151.44</v>
      </c>
      <c r="H338" s="6">
        <v>0.2</v>
      </c>
      <c r="I338" s="6">
        <v>12.58</v>
      </c>
      <c r="J338" s="10">
        <f>AVERAGE(Table5[[#This Row],[23 Pts]:[25 Proj]])</f>
        <v>54.74</v>
      </c>
      <c r="K338" s="32">
        <f>Table5[[#This Row],[Avg]]/17</f>
        <v>3.22</v>
      </c>
      <c r="L338" s="9"/>
    </row>
    <row r="339" spans="2:12" x14ac:dyDescent="0.35">
      <c r="B339" s="8">
        <v>330</v>
      </c>
      <c r="C339" s="8">
        <v>76</v>
      </c>
      <c r="D339" s="15" t="s">
        <v>334</v>
      </c>
      <c r="E339" s="4" t="s">
        <v>73</v>
      </c>
      <c r="F339" s="33" t="s">
        <v>24</v>
      </c>
      <c r="G339" s="11" t="s">
        <v>60</v>
      </c>
      <c r="H339" s="6" t="s">
        <v>60</v>
      </c>
      <c r="I339" s="6">
        <v>54.7</v>
      </c>
      <c r="J339" s="10">
        <f>AVERAGE(Table5[[#This Row],[23 Pts]:[25 Proj]])</f>
        <v>54.7</v>
      </c>
      <c r="K339" s="32">
        <f>Table5[[#This Row],[Avg]]/17</f>
        <v>3.2176470588235295</v>
      </c>
      <c r="L339" s="9"/>
    </row>
    <row r="340" spans="2:12" x14ac:dyDescent="0.35">
      <c r="B340" s="8">
        <v>331</v>
      </c>
      <c r="C340" s="8">
        <v>77</v>
      </c>
      <c r="D340" s="15" t="s">
        <v>128</v>
      </c>
      <c r="E340" s="4" t="s">
        <v>51</v>
      </c>
      <c r="F340" s="33" t="s">
        <v>24</v>
      </c>
      <c r="G340" s="11">
        <v>101</v>
      </c>
      <c r="H340" s="6">
        <v>28.4</v>
      </c>
      <c r="I340" s="6">
        <v>32.799999999999997</v>
      </c>
      <c r="J340" s="10">
        <f>AVERAGE(Table5[[#This Row],[23 Pts]:[25 Proj]])</f>
        <v>54.066666666666663</v>
      </c>
      <c r="K340" s="32">
        <f>Table5[[#This Row],[Avg]]/17</f>
        <v>3.1803921568627449</v>
      </c>
      <c r="L340" s="9"/>
    </row>
    <row r="341" spans="2:12" x14ac:dyDescent="0.35">
      <c r="B341" s="8">
        <v>332</v>
      </c>
      <c r="C341" s="8">
        <v>78</v>
      </c>
      <c r="D341" s="15" t="s">
        <v>208</v>
      </c>
      <c r="E341" s="4" t="s">
        <v>40</v>
      </c>
      <c r="F341" s="33" t="s">
        <v>24</v>
      </c>
      <c r="G341" s="11">
        <v>14.8</v>
      </c>
      <c r="H341" s="6">
        <v>96</v>
      </c>
      <c r="I341" s="6">
        <v>50.9</v>
      </c>
      <c r="J341" s="10">
        <f>AVERAGE(Table5[[#This Row],[23 Pts]:[25 Proj]])</f>
        <v>53.9</v>
      </c>
      <c r="K341" s="32">
        <f>Table5[[#This Row],[Avg]]/17</f>
        <v>3.1705882352941175</v>
      </c>
      <c r="L341" s="9"/>
    </row>
    <row r="342" spans="2:12" x14ac:dyDescent="0.35">
      <c r="B342" s="8">
        <v>334</v>
      </c>
      <c r="C342" s="8">
        <v>80</v>
      </c>
      <c r="D342" s="15" t="s">
        <v>206</v>
      </c>
      <c r="E342" s="4" t="s">
        <v>44</v>
      </c>
      <c r="F342" s="33" t="s">
        <v>24</v>
      </c>
      <c r="G342" s="11" t="s">
        <v>60</v>
      </c>
      <c r="H342" s="6" t="s">
        <v>60</v>
      </c>
      <c r="I342" s="6">
        <v>51.3</v>
      </c>
      <c r="J342" s="10">
        <f>AVERAGE(Table5[[#This Row],[23 Pts]:[25 Proj]])</f>
        <v>51.3</v>
      </c>
      <c r="K342" s="32">
        <f>Table5[[#This Row],[Avg]]/17</f>
        <v>3.0176470588235293</v>
      </c>
      <c r="L342" s="9"/>
    </row>
    <row r="343" spans="2:12" x14ac:dyDescent="0.35">
      <c r="B343" s="8">
        <v>335</v>
      </c>
      <c r="C343" s="8">
        <v>81</v>
      </c>
      <c r="D343" s="15" t="s">
        <v>204</v>
      </c>
      <c r="E343" s="4" t="s">
        <v>20</v>
      </c>
      <c r="F343" s="33" t="s">
        <v>24</v>
      </c>
      <c r="G343" s="11" t="s">
        <v>60</v>
      </c>
      <c r="H343" s="6">
        <v>45.9</v>
      </c>
      <c r="I343" s="6">
        <v>55.5</v>
      </c>
      <c r="J343" s="10">
        <f>AVERAGE(Table5[[#This Row],[23 Pts]:[25 Proj]])</f>
        <v>50.7</v>
      </c>
      <c r="K343" s="32">
        <f>Table5[[#This Row],[Avg]]/17</f>
        <v>2.9823529411764707</v>
      </c>
      <c r="L343" s="9"/>
    </row>
    <row r="344" spans="2:12" x14ac:dyDescent="0.35">
      <c r="B344" s="8">
        <v>337</v>
      </c>
      <c r="C344" s="8">
        <v>83</v>
      </c>
      <c r="D344" s="15" t="s">
        <v>210</v>
      </c>
      <c r="E344" s="4" t="s">
        <v>104</v>
      </c>
      <c r="F344" s="33" t="s">
        <v>24</v>
      </c>
      <c r="G344" s="11" t="s">
        <v>60</v>
      </c>
      <c r="H344" s="6" t="s">
        <v>60</v>
      </c>
      <c r="I344" s="6">
        <v>49.3</v>
      </c>
      <c r="J344" s="10">
        <f>AVERAGE(Table5[[#This Row],[23 Pts]:[25 Proj]])</f>
        <v>49.3</v>
      </c>
      <c r="K344" s="32">
        <f>Table5[[#This Row],[Avg]]/17</f>
        <v>2.9</v>
      </c>
      <c r="L344" s="9"/>
    </row>
    <row r="345" spans="2:12" x14ac:dyDescent="0.35">
      <c r="B345" s="8">
        <v>338</v>
      </c>
      <c r="C345" s="8">
        <v>84</v>
      </c>
      <c r="D345" s="15" t="s">
        <v>209</v>
      </c>
      <c r="E345" s="4" t="s">
        <v>38</v>
      </c>
      <c r="F345" s="33" t="s">
        <v>24</v>
      </c>
      <c r="G345" s="11" t="s">
        <v>60</v>
      </c>
      <c r="H345" s="6" t="s">
        <v>60</v>
      </c>
      <c r="I345" s="6">
        <v>49.3</v>
      </c>
      <c r="J345" s="10">
        <f>AVERAGE(Table5[[#This Row],[23 Pts]:[25 Proj]])</f>
        <v>49.3</v>
      </c>
      <c r="K345" s="32">
        <f>Table5[[#This Row],[Avg]]/17</f>
        <v>2.9</v>
      </c>
      <c r="L345" s="9"/>
    </row>
    <row r="346" spans="2:12" x14ac:dyDescent="0.35">
      <c r="B346" s="8">
        <v>340</v>
      </c>
      <c r="C346" s="8">
        <v>86</v>
      </c>
      <c r="D346" s="15" t="s">
        <v>212</v>
      </c>
      <c r="E346" s="4" t="s">
        <v>12</v>
      </c>
      <c r="F346" s="33" t="s">
        <v>24</v>
      </c>
      <c r="G346" s="11" t="s">
        <v>60</v>
      </c>
      <c r="H346" s="6" t="s">
        <v>60</v>
      </c>
      <c r="I346" s="6">
        <v>47.2</v>
      </c>
      <c r="J346" s="10">
        <f>AVERAGE(Table5[[#This Row],[23 Pts]:[25 Proj]])</f>
        <v>47.2</v>
      </c>
      <c r="K346" s="32">
        <f>Table5[[#This Row],[Avg]]/17</f>
        <v>2.7764705882352945</v>
      </c>
      <c r="L346" s="9"/>
    </row>
    <row r="347" spans="2:12" x14ac:dyDescent="0.35">
      <c r="B347" s="8">
        <v>341</v>
      </c>
      <c r="C347" s="8">
        <v>87</v>
      </c>
      <c r="D347" s="15" t="s">
        <v>221</v>
      </c>
      <c r="E347" s="4" t="s">
        <v>23</v>
      </c>
      <c r="F347" s="33" t="s">
        <v>24</v>
      </c>
      <c r="G347" s="11">
        <v>69.900000000000006</v>
      </c>
      <c r="H347" s="6">
        <v>35.9</v>
      </c>
      <c r="I347" s="6">
        <v>33.9</v>
      </c>
      <c r="J347" s="10">
        <f>AVERAGE(Table5[[#This Row],[23 Pts]:[25 Proj]])</f>
        <v>46.56666666666667</v>
      </c>
      <c r="K347" s="32">
        <f>Table5[[#This Row],[Avg]]/17</f>
        <v>2.7392156862745098</v>
      </c>
      <c r="L347" s="9"/>
    </row>
    <row r="348" spans="2:12" x14ac:dyDescent="0.35">
      <c r="B348" s="8">
        <v>342</v>
      </c>
      <c r="C348" s="8">
        <v>88</v>
      </c>
      <c r="D348" s="15" t="s">
        <v>213</v>
      </c>
      <c r="E348" s="4" t="s">
        <v>22</v>
      </c>
      <c r="F348" s="33" t="s">
        <v>24</v>
      </c>
      <c r="G348" s="11" t="s">
        <v>60</v>
      </c>
      <c r="H348" s="6" t="s">
        <v>60</v>
      </c>
      <c r="I348" s="6">
        <v>45.6</v>
      </c>
      <c r="J348" s="10">
        <f>AVERAGE(Table5[[#This Row],[23 Pts]:[25 Proj]])</f>
        <v>45.6</v>
      </c>
      <c r="K348" s="32">
        <f>Table5[[#This Row],[Avg]]/17</f>
        <v>2.6823529411764708</v>
      </c>
      <c r="L348" s="9"/>
    </row>
    <row r="349" spans="2:12" x14ac:dyDescent="0.35">
      <c r="B349" s="8">
        <v>343</v>
      </c>
      <c r="C349" s="8">
        <v>89</v>
      </c>
      <c r="D349" s="15" t="s">
        <v>201</v>
      </c>
      <c r="E349" s="4" t="s">
        <v>42</v>
      </c>
      <c r="F349" s="33" t="s">
        <v>24</v>
      </c>
      <c r="G349" s="11">
        <v>5.2</v>
      </c>
      <c r="H349" s="6">
        <v>68.7</v>
      </c>
      <c r="I349" s="6">
        <v>57.6</v>
      </c>
      <c r="J349" s="10">
        <f>AVERAGE(Table5[[#This Row],[23 Pts]:[25 Proj]])</f>
        <v>43.833333333333336</v>
      </c>
      <c r="K349" s="32">
        <f>Table5[[#This Row],[Avg]]/17</f>
        <v>2.5784313725490198</v>
      </c>
      <c r="L349" s="9"/>
    </row>
    <row r="350" spans="2:12" x14ac:dyDescent="0.35">
      <c r="B350" s="8">
        <v>344</v>
      </c>
      <c r="C350" s="8">
        <v>48</v>
      </c>
      <c r="D350" s="15" t="s">
        <v>267</v>
      </c>
      <c r="E350" s="4" t="s">
        <v>40</v>
      </c>
      <c r="F350" s="33" t="s">
        <v>424</v>
      </c>
      <c r="G350" s="11">
        <v>75.2</v>
      </c>
      <c r="H350" s="6">
        <v>11.5</v>
      </c>
      <c r="I350" s="6">
        <v>41.7</v>
      </c>
      <c r="J350" s="10">
        <f>AVERAGE(Table5[[#This Row],[23 Pts]:[25 Proj]])</f>
        <v>42.800000000000004</v>
      </c>
      <c r="K350" s="32">
        <f>Table5[[#This Row],[Avg]]/17</f>
        <v>2.5176470588235298</v>
      </c>
      <c r="L350" s="9"/>
    </row>
    <row r="351" spans="2:12" x14ac:dyDescent="0.35">
      <c r="B351" s="8">
        <v>345</v>
      </c>
      <c r="C351" s="8">
        <v>90</v>
      </c>
      <c r="D351" s="15" t="s">
        <v>224</v>
      </c>
      <c r="E351" s="4" t="s">
        <v>12</v>
      </c>
      <c r="F351" s="33" t="s">
        <v>24</v>
      </c>
      <c r="G351" s="11">
        <v>38.5</v>
      </c>
      <c r="H351" s="6">
        <v>57.6</v>
      </c>
      <c r="I351" s="6">
        <v>30.8</v>
      </c>
      <c r="J351" s="10">
        <f>AVERAGE(Table5[[#This Row],[23 Pts]:[25 Proj]])</f>
        <v>42.3</v>
      </c>
      <c r="K351" s="32">
        <f>Table5[[#This Row],[Avg]]/17</f>
        <v>2.4882352941176471</v>
      </c>
      <c r="L351" s="9"/>
    </row>
    <row r="352" spans="2:12" x14ac:dyDescent="0.35">
      <c r="B352" s="8">
        <v>346</v>
      </c>
      <c r="C352" s="8">
        <v>91</v>
      </c>
      <c r="D352" s="15" t="s">
        <v>197</v>
      </c>
      <c r="E352" s="4" t="s">
        <v>18</v>
      </c>
      <c r="F352" s="33" t="s">
        <v>24</v>
      </c>
      <c r="G352" s="11" t="s">
        <v>60</v>
      </c>
      <c r="H352" s="6">
        <v>15.7</v>
      </c>
      <c r="I352" s="6">
        <v>68.7</v>
      </c>
      <c r="J352" s="10">
        <f>AVERAGE(Table5[[#This Row],[23 Pts]:[25 Proj]])</f>
        <v>42.2</v>
      </c>
      <c r="K352" s="32">
        <f>Table5[[#This Row],[Avg]]/17</f>
        <v>2.4823529411764707</v>
      </c>
      <c r="L352" s="9"/>
    </row>
    <row r="353" spans="2:12" x14ac:dyDescent="0.35">
      <c r="B353" s="8">
        <v>347</v>
      </c>
      <c r="C353" s="8">
        <v>92</v>
      </c>
      <c r="D353" s="15" t="s">
        <v>205</v>
      </c>
      <c r="E353" s="4" t="s">
        <v>62</v>
      </c>
      <c r="F353" s="33" t="s">
        <v>24</v>
      </c>
      <c r="G353" s="11">
        <v>43.3</v>
      </c>
      <c r="H353" s="6">
        <v>29.1</v>
      </c>
      <c r="I353" s="6">
        <v>52.5</v>
      </c>
      <c r="J353" s="10">
        <f>AVERAGE(Table5[[#This Row],[23 Pts]:[25 Proj]])</f>
        <v>41.633333333333333</v>
      </c>
      <c r="K353" s="32">
        <f>Table5[[#This Row],[Avg]]/17</f>
        <v>2.4490196078431374</v>
      </c>
      <c r="L353" s="9"/>
    </row>
    <row r="354" spans="2:12" x14ac:dyDescent="0.35">
      <c r="B354" s="8">
        <v>348</v>
      </c>
      <c r="C354" s="8">
        <v>93</v>
      </c>
      <c r="D354" s="15" t="s">
        <v>220</v>
      </c>
      <c r="E354" s="4" t="s">
        <v>22</v>
      </c>
      <c r="F354" s="33" t="s">
        <v>24</v>
      </c>
      <c r="G354" s="11">
        <v>47.5</v>
      </c>
      <c r="H354" s="6" t="s">
        <v>60</v>
      </c>
      <c r="I354" s="6">
        <v>34</v>
      </c>
      <c r="J354" s="10">
        <f>AVERAGE(Table5[[#This Row],[23 Pts]:[25 Proj]])</f>
        <v>40.75</v>
      </c>
      <c r="K354" s="32">
        <f>Table5[[#This Row],[Avg]]/17</f>
        <v>2.3970588235294117</v>
      </c>
      <c r="L354" s="9"/>
    </row>
    <row r="355" spans="2:12" x14ac:dyDescent="0.35">
      <c r="B355" s="8">
        <v>349</v>
      </c>
      <c r="C355" s="8">
        <v>49</v>
      </c>
      <c r="D355" s="15" t="s">
        <v>269</v>
      </c>
      <c r="E355" s="4" t="s">
        <v>46</v>
      </c>
      <c r="F355" s="33" t="s">
        <v>424</v>
      </c>
      <c r="G355" s="11">
        <v>36.299999999999997</v>
      </c>
      <c r="H355" s="6">
        <v>49.2</v>
      </c>
      <c r="I355" s="6">
        <v>36.5</v>
      </c>
      <c r="J355" s="10">
        <f>AVERAGE(Table5[[#This Row],[23 Pts]:[25 Proj]])</f>
        <v>40.666666666666664</v>
      </c>
      <c r="K355" s="32">
        <f>Table5[[#This Row],[Avg]]/17</f>
        <v>2.392156862745098</v>
      </c>
      <c r="L355" s="9"/>
    </row>
    <row r="356" spans="2:12" x14ac:dyDescent="0.35">
      <c r="B356" s="8">
        <v>351</v>
      </c>
      <c r="C356" s="8">
        <v>50</v>
      </c>
      <c r="D356" s="15" t="s">
        <v>263</v>
      </c>
      <c r="E356" s="4" t="s">
        <v>59</v>
      </c>
      <c r="F356" s="33" t="s">
        <v>424</v>
      </c>
      <c r="G356" s="11" t="s">
        <v>60</v>
      </c>
      <c r="H356" s="6">
        <v>13.8</v>
      </c>
      <c r="I356" s="6">
        <v>58</v>
      </c>
      <c r="J356" s="10">
        <f>AVERAGE(Table5[[#This Row],[23 Pts]:[25 Proj]])</f>
        <v>35.9</v>
      </c>
      <c r="K356" s="32">
        <f>Table5[[#This Row],[Avg]]/17</f>
        <v>2.111764705882353</v>
      </c>
      <c r="L356" s="9"/>
    </row>
    <row r="357" spans="2:12" x14ac:dyDescent="0.35">
      <c r="B357" s="8">
        <v>353</v>
      </c>
      <c r="C357" s="8">
        <v>96</v>
      </c>
      <c r="D357" s="15" t="s">
        <v>217</v>
      </c>
      <c r="E357" s="4" t="s">
        <v>48</v>
      </c>
      <c r="F357" s="33" t="s">
        <v>24</v>
      </c>
      <c r="G357" s="11">
        <v>10.3</v>
      </c>
      <c r="H357" s="6">
        <v>56</v>
      </c>
      <c r="I357" s="6">
        <v>37.700000000000003</v>
      </c>
      <c r="J357" s="10">
        <f>AVERAGE(Table5[[#This Row],[23 Pts]:[25 Proj]])</f>
        <v>34.666666666666664</v>
      </c>
      <c r="K357" s="32">
        <f>Table5[[#This Row],[Avg]]/17</f>
        <v>2.0392156862745097</v>
      </c>
      <c r="L357" s="9"/>
    </row>
    <row r="358" spans="2:12" x14ac:dyDescent="0.35">
      <c r="B358" s="8">
        <v>354</v>
      </c>
      <c r="C358" s="8">
        <v>97</v>
      </c>
      <c r="D358" s="15" t="s">
        <v>222</v>
      </c>
      <c r="E358" s="4" t="s">
        <v>85</v>
      </c>
      <c r="F358" s="33" t="s">
        <v>24</v>
      </c>
      <c r="G358" s="11" t="s">
        <v>60</v>
      </c>
      <c r="H358" s="6" t="s">
        <v>60</v>
      </c>
      <c r="I358" s="6">
        <v>33.299999999999997</v>
      </c>
      <c r="J358" s="10">
        <f>AVERAGE(Table5[[#This Row],[23 Pts]:[25 Proj]])</f>
        <v>33.299999999999997</v>
      </c>
      <c r="K358" s="32">
        <f>Table5[[#This Row],[Avg]]/17</f>
        <v>1.9588235294117646</v>
      </c>
      <c r="L358" s="9"/>
    </row>
    <row r="359" spans="2:12" x14ac:dyDescent="0.35">
      <c r="B359" s="8">
        <v>355</v>
      </c>
      <c r="C359" s="8">
        <v>98</v>
      </c>
      <c r="D359" s="15" t="s">
        <v>218</v>
      </c>
      <c r="E359" s="4" t="s">
        <v>73</v>
      </c>
      <c r="F359" s="33" t="s">
        <v>24</v>
      </c>
      <c r="G359" s="11">
        <v>18.100000000000001</v>
      </c>
      <c r="H359" s="6">
        <v>44.4</v>
      </c>
      <c r="I359" s="6">
        <v>36.9</v>
      </c>
      <c r="J359" s="10">
        <f>AVERAGE(Table5[[#This Row],[23 Pts]:[25 Proj]])</f>
        <v>33.133333333333333</v>
      </c>
      <c r="K359" s="32">
        <f>Table5[[#This Row],[Avg]]/17</f>
        <v>1.9490196078431372</v>
      </c>
      <c r="L359" s="9"/>
    </row>
    <row r="360" spans="2:12" x14ac:dyDescent="0.35">
      <c r="B360" s="8">
        <v>357</v>
      </c>
      <c r="C360" s="8">
        <v>99</v>
      </c>
      <c r="D360" s="15" t="s">
        <v>199</v>
      </c>
      <c r="E360" s="4" t="s">
        <v>40</v>
      </c>
      <c r="F360" s="33" t="s">
        <v>24</v>
      </c>
      <c r="G360" s="11" t="s">
        <v>60</v>
      </c>
      <c r="H360" s="6">
        <v>2.8</v>
      </c>
      <c r="I360" s="6">
        <v>61</v>
      </c>
      <c r="J360" s="10">
        <f>AVERAGE(Table5[[#This Row],[23 Pts]:[25 Proj]])</f>
        <v>31.9</v>
      </c>
      <c r="K360" s="32">
        <f>Table5[[#This Row],[Avg]]/17</f>
        <v>1.8764705882352941</v>
      </c>
      <c r="L360" s="9"/>
    </row>
    <row r="361" spans="2:12" x14ac:dyDescent="0.35">
      <c r="B361" s="8">
        <v>358</v>
      </c>
      <c r="C361" s="8">
        <v>45</v>
      </c>
      <c r="D361" s="15" t="s">
        <v>172</v>
      </c>
      <c r="E361" s="4" t="s">
        <v>27</v>
      </c>
      <c r="F361" s="33" t="s">
        <v>10</v>
      </c>
      <c r="G361" s="11">
        <v>74.739999999999995</v>
      </c>
      <c r="H361" s="6">
        <v>1.32</v>
      </c>
      <c r="I361" s="6">
        <v>15.94</v>
      </c>
      <c r="J361" s="10">
        <f>AVERAGE(Table5[[#This Row],[23 Pts]:[25 Proj]])</f>
        <v>30.666666666666661</v>
      </c>
      <c r="K361" s="32">
        <f>Table5[[#This Row],[Avg]]/17</f>
        <v>1.8039215686274506</v>
      </c>
      <c r="L361" s="9"/>
    </row>
    <row r="362" spans="2:12" x14ac:dyDescent="0.35">
      <c r="B362" s="8">
        <v>359</v>
      </c>
      <c r="C362" s="8">
        <v>100</v>
      </c>
      <c r="D362" s="15" t="s">
        <v>226</v>
      </c>
      <c r="E362" s="4" t="s">
        <v>81</v>
      </c>
      <c r="F362" s="33" t="s">
        <v>24</v>
      </c>
      <c r="G362" s="11" t="s">
        <v>60</v>
      </c>
      <c r="H362" s="6" t="s">
        <v>60</v>
      </c>
      <c r="I362" s="6">
        <v>29.6</v>
      </c>
      <c r="J362" s="10">
        <f>AVERAGE(Table5[[#This Row],[23 Pts]:[25 Proj]])</f>
        <v>29.6</v>
      </c>
      <c r="K362" s="32">
        <f>Table5[[#This Row],[Avg]]/17</f>
        <v>1.7411764705882353</v>
      </c>
      <c r="L362" s="9"/>
    </row>
    <row r="363" spans="2:12" x14ac:dyDescent="0.35">
      <c r="B363" s="8">
        <v>360</v>
      </c>
      <c r="C363" s="8">
        <v>46</v>
      </c>
      <c r="D363" s="15" t="s">
        <v>169</v>
      </c>
      <c r="E363" s="4" t="s">
        <v>40</v>
      </c>
      <c r="F363" s="33" t="s">
        <v>10</v>
      </c>
      <c r="G363" s="11">
        <v>3.06</v>
      </c>
      <c r="H363" s="6">
        <v>51.8</v>
      </c>
      <c r="I363" s="6">
        <v>20.59</v>
      </c>
      <c r="J363" s="10">
        <f>AVERAGE(Table5[[#This Row],[23 Pts]:[25 Proj]])</f>
        <v>25.150000000000002</v>
      </c>
      <c r="K363" s="32">
        <f>Table5[[#This Row],[Avg]]/17</f>
        <v>1.4794117647058824</v>
      </c>
      <c r="L363" s="9"/>
    </row>
    <row r="364" spans="2:12" x14ac:dyDescent="0.35">
      <c r="B364" s="8">
        <v>361</v>
      </c>
      <c r="C364" s="8">
        <v>47</v>
      </c>
      <c r="D364" s="15" t="s">
        <v>167</v>
      </c>
      <c r="E364" s="4" t="s">
        <v>34</v>
      </c>
      <c r="F364" s="33" t="s">
        <v>10</v>
      </c>
      <c r="G364" s="11" t="s">
        <v>60</v>
      </c>
      <c r="H364" s="6" t="s">
        <v>60</v>
      </c>
      <c r="I364" s="6">
        <v>20.38</v>
      </c>
      <c r="J364" s="10">
        <f>AVERAGE(Table5[[#This Row],[23 Pts]:[25 Proj]])</f>
        <v>20.38</v>
      </c>
      <c r="K364" s="32">
        <f>Table5[[#This Row],[Avg]]/17</f>
        <v>1.1988235294117646</v>
      </c>
      <c r="L364" s="9"/>
    </row>
    <row r="365" spans="2:12" x14ac:dyDescent="0.35">
      <c r="B365" s="8">
        <v>362</v>
      </c>
      <c r="C365" s="8">
        <v>48</v>
      </c>
      <c r="D365" s="15" t="s">
        <v>168</v>
      </c>
      <c r="E365" s="4" t="s">
        <v>14</v>
      </c>
      <c r="F365" s="33" t="s">
        <v>10</v>
      </c>
      <c r="G365" s="11" t="s">
        <v>60</v>
      </c>
      <c r="H365" s="6">
        <v>19.239999999999998</v>
      </c>
      <c r="I365" s="6">
        <v>12.98</v>
      </c>
      <c r="J365" s="10">
        <f>AVERAGE(Table5[[#This Row],[23 Pts]:[25 Proj]])</f>
        <v>16.11</v>
      </c>
      <c r="K365" s="32">
        <f>Table5[[#This Row],[Avg]]/17</f>
        <v>0.9476470588235294</v>
      </c>
      <c r="L365" s="9"/>
    </row>
    <row r="366" spans="2:12" x14ac:dyDescent="0.35">
      <c r="B366" s="8">
        <v>363</v>
      </c>
      <c r="C366" s="8">
        <v>49</v>
      </c>
      <c r="D366" s="16" t="s">
        <v>174</v>
      </c>
      <c r="E366" s="13" t="s">
        <v>79</v>
      </c>
      <c r="F366" s="33" t="s">
        <v>10</v>
      </c>
      <c r="G366" s="14" t="s">
        <v>60</v>
      </c>
      <c r="H366" s="34">
        <v>13.74</v>
      </c>
      <c r="I366" s="34">
        <v>13.41</v>
      </c>
      <c r="J366" s="10">
        <f>AVERAGE(Table5[[#This Row],[23 Pts]:[25 Proj]])</f>
        <v>13.574999999999999</v>
      </c>
      <c r="K366" s="32">
        <f>Table5[[#This Row],[Avg]]/17</f>
        <v>0.79852941176470582</v>
      </c>
      <c r="L366" s="9"/>
    </row>
  </sheetData>
  <mergeCells count="2">
    <mergeCell ref="B1:O1"/>
    <mergeCell ref="R1:AD1"/>
  </mergeCells>
  <phoneticPr fontId="4" type="noConversion"/>
  <conditionalFormatting sqref="B3:B366">
    <cfRule type="colorScale" priority="113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:C366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303:E366">
    <cfRule type="cellIs" dxfId="311" priority="1157" operator="equal">
      <formula>"NE"</formula>
    </cfRule>
    <cfRule type="cellIs" dxfId="310" priority="1187" operator="equal">
      <formula>"BUF"</formula>
    </cfRule>
    <cfRule type="cellIs" dxfId="309" priority="1186" operator="equal">
      <formula>"PHI"</formula>
    </cfRule>
    <cfRule type="cellIs" dxfId="308" priority="1185" operator="equal">
      <formula>"BAL"</formula>
    </cfRule>
    <cfRule type="cellIs" dxfId="307" priority="1184" operator="equal">
      <formula>"KC"</formula>
    </cfRule>
    <cfRule type="cellIs" dxfId="306" priority="1183" operator="equal">
      <formula>"IND"</formula>
    </cfRule>
    <cfRule type="cellIs" dxfId="305" priority="1182" operator="equal">
      <formula>"HOU"</formula>
    </cfRule>
    <cfRule type="cellIs" dxfId="304" priority="1181" operator="equal">
      <formula>"ARI"</formula>
    </cfRule>
    <cfRule type="cellIs" dxfId="303" priority="1180" operator="equal">
      <formula>"CIN"</formula>
    </cfRule>
    <cfRule type="cellIs" dxfId="302" priority="1179" operator="equal">
      <formula>"DAL"</formula>
    </cfRule>
    <cfRule type="cellIs" dxfId="301" priority="1178" operator="equal">
      <formula>"GB"</formula>
    </cfRule>
    <cfRule type="cellIs" dxfId="300" priority="1177" operator="equal">
      <formula>"WAS"</formula>
    </cfRule>
    <cfRule type="cellIs" dxfId="299" priority="1176" operator="equal">
      <formula>"SF"</formula>
    </cfRule>
    <cfRule type="cellIs" dxfId="298" priority="1175" operator="equal">
      <formula>"DET"</formula>
    </cfRule>
    <cfRule type="cellIs" dxfId="297" priority="1174" operator="equal">
      <formula>"MIA"</formula>
    </cfRule>
    <cfRule type="cellIs" dxfId="296" priority="1158" operator="equal">
      <formula>"MIN"</formula>
    </cfRule>
    <cfRule type="cellIs" dxfId="295" priority="1172" operator="equal">
      <formula>"JAX"</formula>
    </cfRule>
    <cfRule type="cellIs" dxfId="294" priority="1156" operator="equal">
      <formula>"LV"</formula>
    </cfRule>
    <cfRule type="cellIs" dxfId="293" priority="1171" operator="equal">
      <formula>"ATL"</formula>
    </cfRule>
    <cfRule type="cellIs" dxfId="292" priority="1170" operator="equal">
      <formula>"LAR"</formula>
    </cfRule>
    <cfRule type="cellIs" dxfId="291" priority="1169" operator="equal">
      <formula>"LAC"</formula>
    </cfRule>
    <cfRule type="cellIs" dxfId="290" priority="1168" operator="equal">
      <formula>"SEA"</formula>
    </cfRule>
    <cfRule type="cellIs" dxfId="289" priority="1167" operator="equal">
      <formula>"NYJ"</formula>
    </cfRule>
    <cfRule type="cellIs" dxfId="288" priority="1166" operator="equal">
      <formula>"CLE"</formula>
    </cfRule>
    <cfRule type="cellIs" dxfId="287" priority="1165" operator="equal">
      <formula>"TB"</formula>
    </cfRule>
    <cfRule type="cellIs" dxfId="286" priority="1164" operator="equal">
      <formula>"TEN"</formula>
    </cfRule>
    <cfRule type="cellIs" dxfId="285" priority="1163" operator="equal">
      <formula>"NO"</formula>
    </cfRule>
    <cfRule type="cellIs" dxfId="284" priority="1162" operator="equal">
      <formula>"NYG"</formula>
    </cfRule>
    <cfRule type="cellIs" dxfId="283" priority="1161" operator="equal">
      <formula>"CAR"</formula>
    </cfRule>
    <cfRule type="cellIs" dxfId="282" priority="1160" operator="equal">
      <formula>"DEN"</formula>
    </cfRule>
    <cfRule type="cellIs" dxfId="281" priority="1159" operator="equal">
      <formula>"PIT"</formula>
    </cfRule>
    <cfRule type="cellIs" dxfId="280" priority="1173" operator="equal">
      <formula>"CHI"</formula>
    </cfRule>
  </conditionalFormatting>
  <conditionalFormatting sqref="E3:F366">
    <cfRule type="cellIs" dxfId="279" priority="1385" operator="equal">
      <formula>"BAL"</formula>
    </cfRule>
    <cfRule type="cellIs" dxfId="278" priority="1386" operator="equal">
      <formula>"PHI"</formula>
    </cfRule>
    <cfRule type="cellIs" dxfId="277" priority="1387" operator="equal">
      <formula>"BUF"</formula>
    </cfRule>
    <cfRule type="cellIs" dxfId="276" priority="1370" operator="equal">
      <formula>"LAR"</formula>
    </cfRule>
    <cfRule type="cellIs" dxfId="275" priority="1356" operator="equal">
      <formula>"LV"</formula>
    </cfRule>
    <cfRule type="cellIs" dxfId="274" priority="1357" operator="equal">
      <formula>"NE"</formula>
    </cfRule>
    <cfRule type="cellIs" dxfId="273" priority="1358" operator="equal">
      <formula>"MIN"</formula>
    </cfRule>
    <cfRule type="cellIs" dxfId="272" priority="1359" operator="equal">
      <formula>"PIT"</formula>
    </cfRule>
    <cfRule type="cellIs" dxfId="271" priority="1360" operator="equal">
      <formula>"DEN"</formula>
    </cfRule>
    <cfRule type="cellIs" dxfId="270" priority="1361" operator="equal">
      <formula>"CAR"</formula>
    </cfRule>
    <cfRule type="cellIs" dxfId="269" priority="1362" operator="equal">
      <formula>"NYG"</formula>
    </cfRule>
    <cfRule type="cellIs" dxfId="268" priority="1363" operator="equal">
      <formula>"NO"</formula>
    </cfRule>
    <cfRule type="cellIs" dxfId="267" priority="1364" operator="equal">
      <formula>"TEN"</formula>
    </cfRule>
    <cfRule type="cellIs" dxfId="266" priority="1365" operator="equal">
      <formula>"TB"</formula>
    </cfRule>
    <cfRule type="cellIs" dxfId="265" priority="1366" operator="equal">
      <formula>"CLE"</formula>
    </cfRule>
    <cfRule type="cellIs" dxfId="264" priority="1367" operator="equal">
      <formula>"NYJ"</formula>
    </cfRule>
    <cfRule type="cellIs" dxfId="263" priority="1368" operator="equal">
      <formula>"SEA"</formula>
    </cfRule>
    <cfRule type="cellIs" dxfId="262" priority="1369" operator="equal">
      <formula>"LAC"</formula>
    </cfRule>
    <cfRule type="cellIs" dxfId="261" priority="1371" operator="equal">
      <formula>"ATL"</formula>
    </cfRule>
    <cfRule type="cellIs" dxfId="260" priority="1372" operator="equal">
      <formula>"JAX"</formula>
    </cfRule>
    <cfRule type="cellIs" dxfId="259" priority="1373" operator="equal">
      <formula>"CHI"</formula>
    </cfRule>
    <cfRule type="cellIs" dxfId="258" priority="1374" operator="equal">
      <formula>"MIA"</formula>
    </cfRule>
    <cfRule type="cellIs" dxfId="257" priority="1375" operator="equal">
      <formula>"DET"</formula>
    </cfRule>
    <cfRule type="cellIs" dxfId="256" priority="1376" operator="equal">
      <formula>"SF"</formula>
    </cfRule>
    <cfRule type="cellIs" dxfId="255" priority="1377" operator="equal">
      <formula>"WAS"</formula>
    </cfRule>
    <cfRule type="cellIs" dxfId="254" priority="1378" operator="equal">
      <formula>"GB"</formula>
    </cfRule>
    <cfRule type="cellIs" dxfId="253" priority="1379" operator="equal">
      <formula>"DAL"</formula>
    </cfRule>
    <cfRule type="cellIs" dxfId="252" priority="1380" operator="equal">
      <formula>"CIN"</formula>
    </cfRule>
    <cfRule type="cellIs" dxfId="251" priority="1381" operator="equal">
      <formula>"ARI"</formula>
    </cfRule>
    <cfRule type="cellIs" dxfId="250" priority="1382" operator="equal">
      <formula>"HOU"</formula>
    </cfRule>
    <cfRule type="cellIs" dxfId="249" priority="1383" operator="equal">
      <formula>"IND"</formula>
    </cfRule>
    <cfRule type="cellIs" dxfId="248" priority="1384" operator="equal">
      <formula>"KC"</formula>
    </cfRule>
  </conditionalFormatting>
  <conditionalFormatting sqref="F3:F366">
    <cfRule type="cellIs" dxfId="247" priority="1154" operator="equal">
      <formula>"K"</formula>
    </cfRule>
    <cfRule type="cellIs" dxfId="246" priority="1255" operator="equal">
      <formula>"QB"</formula>
    </cfRule>
    <cfRule type="cellIs" dxfId="245" priority="1252" operator="equal">
      <formula>"TE"</formula>
    </cfRule>
    <cfRule type="cellIs" dxfId="244" priority="1254" operator="equal">
      <formula>"RB"</formula>
    </cfRule>
    <cfRule type="cellIs" dxfId="243" priority="1155" operator="equal">
      <formula>"D/ST"</formula>
    </cfRule>
    <cfRule type="cellIs" dxfId="242" priority="1253" operator="equal">
      <formula>"WR"</formula>
    </cfRule>
  </conditionalFormatting>
  <conditionalFormatting sqref="G3:G36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6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36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36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6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:R14">
    <cfRule type="colorScale" priority="6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S3:S14">
    <cfRule type="colorScale" priority="6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U3:V14">
    <cfRule type="cellIs" dxfId="241" priority="627" operator="equal">
      <formula>"NE"</formula>
    </cfRule>
    <cfRule type="cellIs" dxfId="240" priority="647" operator="equal">
      <formula>"WAS"</formula>
    </cfRule>
    <cfRule type="cellIs" dxfId="239" priority="646" operator="equal">
      <formula>"SF"</formula>
    </cfRule>
    <cfRule type="cellIs" dxfId="238" priority="653" operator="equal">
      <formula>"IND"</formula>
    </cfRule>
    <cfRule type="cellIs" dxfId="237" priority="645" operator="equal">
      <formula>"DET"</formula>
    </cfRule>
    <cfRule type="cellIs" dxfId="236" priority="644" operator="equal">
      <formula>"MIA"</formula>
    </cfRule>
    <cfRule type="cellIs" dxfId="235" priority="642" operator="equal">
      <formula>"JAX"</formula>
    </cfRule>
    <cfRule type="cellIs" dxfId="234" priority="641" operator="equal">
      <formula>"ATL"</formula>
    </cfRule>
    <cfRule type="cellIs" dxfId="233" priority="640" operator="equal">
      <formula>"LAR"</formula>
    </cfRule>
    <cfRule type="cellIs" dxfId="232" priority="639" operator="equal">
      <formula>"LAC"</formula>
    </cfRule>
    <cfRule type="cellIs" dxfId="231" priority="638" operator="equal">
      <formula>"SEA"</formula>
    </cfRule>
    <cfRule type="cellIs" dxfId="230" priority="637" operator="equal">
      <formula>"NYJ"</formula>
    </cfRule>
    <cfRule type="cellIs" dxfId="229" priority="635" operator="equal">
      <formula>"TB"</formula>
    </cfRule>
    <cfRule type="cellIs" dxfId="228" priority="634" operator="equal">
      <formula>"TEN"</formula>
    </cfRule>
    <cfRule type="cellIs" dxfId="227" priority="633" operator="equal">
      <formula>"NO"</formula>
    </cfRule>
    <cfRule type="cellIs" dxfId="226" priority="632" operator="equal">
      <formula>"NYG"</formula>
    </cfRule>
    <cfRule type="cellIs" dxfId="225" priority="631" operator="equal">
      <formula>"CAR"</formula>
    </cfRule>
    <cfRule type="cellIs" dxfId="224" priority="630" operator="equal">
      <formula>"DEN"</formula>
    </cfRule>
    <cfRule type="cellIs" dxfId="223" priority="629" operator="equal">
      <formula>"PIT"</formula>
    </cfRule>
    <cfRule type="cellIs" dxfId="222" priority="636" operator="equal">
      <formula>"CLE"</formula>
    </cfRule>
    <cfRule type="cellIs" dxfId="221" priority="626" operator="equal">
      <formula>"LV"</formula>
    </cfRule>
    <cfRule type="cellIs" dxfId="220" priority="628" operator="equal">
      <formula>"MIN"</formula>
    </cfRule>
    <cfRule type="cellIs" dxfId="219" priority="643" operator="equal">
      <formula>"CHI"</formula>
    </cfRule>
    <cfRule type="cellIs" dxfId="218" priority="657" operator="equal">
      <formula>"BUF"</formula>
    </cfRule>
    <cfRule type="cellIs" dxfId="217" priority="656" operator="equal">
      <formula>"PHI"</formula>
    </cfRule>
    <cfRule type="cellIs" dxfId="216" priority="655" operator="equal">
      <formula>"BAL"</formula>
    </cfRule>
    <cfRule type="cellIs" dxfId="215" priority="654" operator="equal">
      <formula>"KC"</formula>
    </cfRule>
    <cfRule type="cellIs" dxfId="214" priority="652" operator="equal">
      <formula>"HOU"</formula>
    </cfRule>
    <cfRule type="cellIs" dxfId="213" priority="651" operator="equal">
      <formula>"ARI"</formula>
    </cfRule>
    <cfRule type="cellIs" dxfId="212" priority="650" operator="equal">
      <formula>"CIN"</formula>
    </cfRule>
    <cfRule type="cellIs" dxfId="211" priority="649" operator="equal">
      <formula>"DAL"</formula>
    </cfRule>
    <cfRule type="cellIs" dxfId="210" priority="648" operator="equal">
      <formula>"GB"</formula>
    </cfRule>
  </conditionalFormatting>
  <conditionalFormatting sqref="V3:V14">
    <cfRule type="cellIs" dxfId="209" priority="620" operator="equal">
      <formula>"K"</formula>
    </cfRule>
    <cfRule type="cellIs" dxfId="208" priority="621" operator="equal">
      <formula>"D/ST"</formula>
    </cfRule>
    <cfRule type="cellIs" dxfId="207" priority="622" operator="equal">
      <formula>"TE"</formula>
    </cfRule>
    <cfRule type="cellIs" dxfId="206" priority="623" operator="equal">
      <formula>"WR"</formula>
    </cfRule>
    <cfRule type="cellIs" dxfId="205" priority="625" operator="equal">
      <formula>"QB"</formula>
    </cfRule>
    <cfRule type="cellIs" dxfId="204" priority="624" operator="equal">
      <formula>"RB"</formula>
    </cfRule>
  </conditionalFormatting>
  <conditionalFormatting sqref="W3:W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3:X14">
    <cfRule type="colorScale" priority="6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:Y14">
    <cfRule type="colorScale" priority="6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3:Z14">
    <cfRule type="colorScale" priority="6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3:AA14">
    <cfRule type="colorScale" priority="6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3:AB14 L3:L366">
    <cfRule type="cellIs" dxfId="203" priority="593" operator="equal">
      <formula>"DoughBoy$"</formula>
    </cfRule>
    <cfRule type="cellIs" dxfId="202" priority="594" operator="equal">
      <formula>"Django Achaned"</formula>
    </cfRule>
    <cfRule type="cellIs" dxfId="201" priority="596" operator="equal">
      <formula>"Blitz"</formula>
    </cfRule>
    <cfRule type="cellIs" dxfId="200" priority="597" operator="equal">
      <formula>"Team Martens"</formula>
    </cfRule>
    <cfRule type="cellIs" dxfId="199" priority="598" operator="equal">
      <formula>"Silence of the Lamb"</formula>
    </cfRule>
    <cfRule type="cellIs" dxfId="198" priority="599" operator="equal">
      <formula>"Suck My Footballz"</formula>
    </cfRule>
    <cfRule type="cellIs" dxfId="197" priority="600" operator="equal">
      <formula>"Are you winning son?"</formula>
    </cfRule>
    <cfRule type="cellIs" dxfId="196" priority="601" operator="equal">
      <formula>"Built Ford Tough"</formula>
    </cfRule>
    <cfRule type="cellIs" dxfId="195" priority="602" operator="equal">
      <formula>"Slingin' Herb"</formula>
    </cfRule>
    <cfRule type="cellIs" dxfId="194" priority="604" operator="equal">
      <formula>"GibSons of Anarchy"</formula>
    </cfRule>
    <cfRule type="cellIs" dxfId="193" priority="603" operator="equal">
      <formula>"Tig Bits"</formula>
    </cfRule>
    <cfRule type="cellIs" dxfId="192" priority="595" operator="equal">
      <formula>"Gimme Moore"</formula>
    </cfRule>
  </conditionalFormatting>
  <conditionalFormatting sqref="AC3:AC14">
    <cfRule type="colorScale" priority="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:AD14">
    <cfRule type="colorScale" priority="6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07137-9C74-4BBC-AC5E-399A202361F7}">
  <dimension ref="B1:AW102"/>
  <sheetViews>
    <sheetView topLeftCell="M1" zoomScaleNormal="100" workbookViewId="0">
      <selection activeCell="M36" sqref="M36"/>
    </sheetView>
  </sheetViews>
  <sheetFormatPr defaultRowHeight="14.5" x14ac:dyDescent="0.35"/>
  <cols>
    <col min="1" max="1" width="4.6328125" customWidth="1"/>
    <col min="2" max="2" width="6.36328125" bestFit="1" customWidth="1"/>
    <col min="3" max="3" width="11.90625" bestFit="1" customWidth="1"/>
    <col min="4" max="4" width="9.90625" bestFit="1" customWidth="1"/>
    <col min="5" max="6" width="10.36328125" bestFit="1" customWidth="1"/>
    <col min="7" max="7" width="11" bestFit="1" customWidth="1"/>
    <col min="8" max="8" width="8.26953125" bestFit="1" customWidth="1"/>
    <col min="9" max="9" width="9.453125" bestFit="1" customWidth="1"/>
    <col min="10" max="11" width="4.6328125" customWidth="1"/>
    <col min="12" max="12" width="6.36328125" bestFit="1" customWidth="1"/>
    <col min="13" max="13" width="13.1796875" bestFit="1" customWidth="1"/>
    <col min="14" max="14" width="9.90625" bestFit="1" customWidth="1"/>
    <col min="15" max="16" width="10.36328125" bestFit="1" customWidth="1"/>
    <col min="17" max="17" width="11" bestFit="1" customWidth="1"/>
    <col min="18" max="18" width="8.26953125" bestFit="1" customWidth="1"/>
    <col min="19" max="19" width="8.54296875" bestFit="1" customWidth="1"/>
    <col min="20" max="20" width="4.6328125" customWidth="1"/>
    <col min="21" max="22" width="6.36328125" bestFit="1" customWidth="1"/>
    <col min="23" max="23" width="17.36328125" bestFit="1" customWidth="1"/>
    <col min="24" max="24" width="9.90625" bestFit="1" customWidth="1"/>
    <col min="25" max="25" width="9.90625" customWidth="1"/>
    <col min="26" max="26" width="10.36328125" bestFit="1" customWidth="1"/>
    <col min="27" max="27" width="11" bestFit="1" customWidth="1"/>
    <col min="28" max="28" width="8.26953125" bestFit="1" customWidth="1"/>
    <col min="29" max="29" width="8.54296875" bestFit="1" customWidth="1"/>
    <col min="30" max="30" width="4.6328125" customWidth="1"/>
    <col min="31" max="32" width="6.36328125" bestFit="1" customWidth="1"/>
    <col min="33" max="33" width="13" bestFit="1" customWidth="1"/>
    <col min="34" max="34" width="9.90625" bestFit="1" customWidth="1"/>
    <col min="35" max="35" width="9.90625" customWidth="1"/>
    <col min="36" max="36" width="10.36328125" bestFit="1" customWidth="1"/>
    <col min="37" max="37" width="11" bestFit="1" customWidth="1"/>
    <col min="38" max="38" width="8.26953125" bestFit="1" customWidth="1"/>
    <col min="39" max="39" width="8.54296875" bestFit="1" customWidth="1"/>
    <col min="40" max="40" width="4.6328125" customWidth="1"/>
    <col min="41" max="42" width="6.36328125" bestFit="1" customWidth="1"/>
    <col min="43" max="43" width="12.1796875" bestFit="1" customWidth="1"/>
    <col min="44" max="44" width="9.90625" bestFit="1" customWidth="1"/>
    <col min="45" max="45" width="10.36328125" bestFit="1" customWidth="1"/>
    <col min="46" max="46" width="11" bestFit="1" customWidth="1"/>
    <col min="47" max="47" width="8.26953125" bestFit="1" customWidth="1"/>
    <col min="48" max="48" width="12.7265625" bestFit="1" customWidth="1"/>
    <col min="49" max="49" width="6.36328125" bestFit="1" customWidth="1"/>
    <col min="50" max="50" width="12.1796875" bestFit="1" customWidth="1"/>
    <col min="51" max="51" width="9.90625" bestFit="1" customWidth="1"/>
    <col min="52" max="52" width="10.36328125" bestFit="1" customWidth="1"/>
    <col min="53" max="53" width="11" bestFit="1" customWidth="1"/>
    <col min="54" max="54" width="8.26953125" bestFit="1" customWidth="1"/>
  </cols>
  <sheetData>
    <row r="1" spans="2:49" ht="18.5" x14ac:dyDescent="0.45">
      <c r="B1" s="56" t="s">
        <v>153</v>
      </c>
      <c r="C1" s="57"/>
      <c r="D1" s="57"/>
      <c r="E1" s="57"/>
      <c r="F1" s="57"/>
      <c r="G1" s="57"/>
      <c r="H1" s="57"/>
      <c r="I1" s="57"/>
      <c r="L1" s="58" t="s">
        <v>154</v>
      </c>
      <c r="M1" s="59"/>
      <c r="N1" s="59"/>
      <c r="O1" s="59"/>
      <c r="P1" s="59"/>
      <c r="Q1" s="59"/>
      <c r="R1" s="59"/>
      <c r="S1" s="59"/>
      <c r="V1" s="60" t="s">
        <v>155</v>
      </c>
      <c r="W1" s="61"/>
      <c r="X1" s="61"/>
      <c r="Y1" s="61"/>
      <c r="Z1" s="61"/>
      <c r="AA1" s="61"/>
      <c r="AB1" s="61"/>
      <c r="AC1" s="61"/>
      <c r="AF1" s="62" t="s">
        <v>156</v>
      </c>
      <c r="AG1" s="63"/>
      <c r="AH1" s="63"/>
      <c r="AI1" s="63"/>
      <c r="AJ1" s="63"/>
      <c r="AK1" s="63"/>
      <c r="AL1" s="63"/>
      <c r="AM1" s="63"/>
      <c r="AP1" s="64" t="s">
        <v>1</v>
      </c>
      <c r="AQ1" s="65"/>
      <c r="AR1" s="65"/>
      <c r="AS1" s="65"/>
      <c r="AT1" s="65"/>
      <c r="AU1" s="65"/>
      <c r="AV1" s="65"/>
      <c r="AW1" s="65"/>
    </row>
    <row r="2" spans="2:49" s="25" customFormat="1" ht="29.5" thickBot="1" x14ac:dyDescent="0.4">
      <c r="B2" s="23" t="s">
        <v>2</v>
      </c>
      <c r="C2" s="23" t="s">
        <v>3</v>
      </c>
      <c r="D2" s="23" t="s">
        <v>4</v>
      </c>
      <c r="E2" s="23" t="s">
        <v>6</v>
      </c>
      <c r="F2" s="24" t="s">
        <v>170</v>
      </c>
      <c r="G2" s="23" t="s">
        <v>171</v>
      </c>
      <c r="H2" s="23" t="s">
        <v>7</v>
      </c>
      <c r="I2" s="23" t="s">
        <v>152</v>
      </c>
      <c r="J2" s="23"/>
      <c r="L2" s="21" t="s">
        <v>2</v>
      </c>
      <c r="M2" s="19" t="s">
        <v>3</v>
      </c>
      <c r="N2" s="19" t="s">
        <v>4</v>
      </c>
      <c r="O2" s="37" t="s">
        <v>6</v>
      </c>
      <c r="P2" s="24" t="s">
        <v>170</v>
      </c>
      <c r="Q2" s="23" t="s">
        <v>171</v>
      </c>
      <c r="R2" s="19" t="s">
        <v>7</v>
      </c>
      <c r="S2" s="23" t="s">
        <v>152</v>
      </c>
      <c r="V2" s="21" t="s">
        <v>2</v>
      </c>
      <c r="W2" s="19" t="s">
        <v>3</v>
      </c>
      <c r="X2" s="19" t="s">
        <v>4</v>
      </c>
      <c r="Y2" s="37" t="s">
        <v>6</v>
      </c>
      <c r="Z2" s="24" t="s">
        <v>170</v>
      </c>
      <c r="AA2" s="23" t="s">
        <v>171</v>
      </c>
      <c r="AB2" s="19" t="s">
        <v>7</v>
      </c>
      <c r="AC2" s="23" t="s">
        <v>152</v>
      </c>
      <c r="AF2" s="21" t="s">
        <v>2</v>
      </c>
      <c r="AG2" s="19" t="s">
        <v>3</v>
      </c>
      <c r="AH2" s="19" t="s">
        <v>4</v>
      </c>
      <c r="AI2" s="37" t="s">
        <v>6</v>
      </c>
      <c r="AJ2" s="24" t="s">
        <v>170</v>
      </c>
      <c r="AK2" s="23" t="s">
        <v>171</v>
      </c>
      <c r="AL2" s="19" t="s">
        <v>7</v>
      </c>
      <c r="AM2" s="19" t="s">
        <v>152</v>
      </c>
      <c r="AP2" s="21" t="s">
        <v>2</v>
      </c>
      <c r="AQ2" s="19" t="s">
        <v>3</v>
      </c>
      <c r="AR2" s="19" t="s">
        <v>4</v>
      </c>
      <c r="AS2" s="37" t="s">
        <v>6</v>
      </c>
      <c r="AT2" s="24" t="s">
        <v>170</v>
      </c>
      <c r="AU2" s="23" t="s">
        <v>171</v>
      </c>
      <c r="AV2" s="22" t="s">
        <v>7</v>
      </c>
      <c r="AW2" s="19" t="s">
        <v>152</v>
      </c>
    </row>
    <row r="3" spans="2:49" x14ac:dyDescent="0.35">
      <c r="B3" s="8">
        <v>1</v>
      </c>
      <c r="C3" s="38" t="s">
        <v>8</v>
      </c>
      <c r="D3" s="9" t="s">
        <v>9</v>
      </c>
      <c r="E3" s="10">
        <v>410.64</v>
      </c>
      <c r="F3" s="10">
        <v>385.04</v>
      </c>
      <c r="G3" s="10">
        <v>359.06</v>
      </c>
      <c r="H3" s="10">
        <f>AVERAGE(Table1[[#This Row],[23 Pts]:[25 Proj]])</f>
        <v>384.91333333333336</v>
      </c>
      <c r="I3" s="20">
        <f>Table1[[#This Row],[Avg]]/17</f>
        <v>22.641960784313728</v>
      </c>
      <c r="J3" s="8"/>
      <c r="L3" s="17">
        <v>2</v>
      </c>
      <c r="M3" s="39" t="s">
        <v>30</v>
      </c>
      <c r="N3" s="4" t="s">
        <v>31</v>
      </c>
      <c r="O3" s="11">
        <v>246.3</v>
      </c>
      <c r="P3" s="11">
        <v>341.7</v>
      </c>
      <c r="Q3" s="10">
        <v>297.7</v>
      </c>
      <c r="R3" s="26">
        <f>AVERAGE(Table2[[#This Row],[23 Pts]:[25 Proj]])</f>
        <v>295.23333333333335</v>
      </c>
      <c r="S3" s="20">
        <f>Table2[[#This Row],[Avg]]/17</f>
        <v>17.366666666666667</v>
      </c>
      <c r="V3" s="15">
        <v>1</v>
      </c>
      <c r="W3" s="39" t="s">
        <v>43</v>
      </c>
      <c r="X3" s="4" t="s">
        <v>44</v>
      </c>
      <c r="Y3" s="11">
        <v>262.72000000000003</v>
      </c>
      <c r="Z3" s="11">
        <v>403</v>
      </c>
      <c r="AA3" s="10">
        <v>320</v>
      </c>
      <c r="AB3" s="10">
        <f>AVERAGE(Table3[[#This Row],[23 Pts]:[25 Proj]])</f>
        <v>328.57333333333332</v>
      </c>
      <c r="AC3" s="20">
        <f>Table3[[#This Row],[Avg]]/17</f>
        <v>19.327843137254902</v>
      </c>
      <c r="AF3" s="15">
        <v>3</v>
      </c>
      <c r="AG3" s="41" t="s">
        <v>33</v>
      </c>
      <c r="AH3" s="4" t="s">
        <v>12</v>
      </c>
      <c r="AI3" s="11">
        <v>203.2</v>
      </c>
      <c r="AJ3" s="11">
        <v>236.6</v>
      </c>
      <c r="AK3" s="10">
        <v>207</v>
      </c>
      <c r="AL3" s="10">
        <f>AVERAGE(Table4[[#This Row],[23 Pts]:[25 Proj]])</f>
        <v>215.6</v>
      </c>
      <c r="AM3" s="20">
        <f>Table4[[#This Row],[Avg]]/17</f>
        <v>12.68235294117647</v>
      </c>
      <c r="AP3" s="5">
        <v>1</v>
      </c>
      <c r="AQ3" s="41" t="s">
        <v>274</v>
      </c>
      <c r="AR3" s="4" t="s">
        <v>94</v>
      </c>
      <c r="AS3" s="6">
        <v>118</v>
      </c>
      <c r="AT3" s="6">
        <v>141</v>
      </c>
      <c r="AU3" s="6">
        <v>181</v>
      </c>
      <c r="AV3" s="11">
        <f>AVERAGE(Table6[[#This Row],[23 Pts]:[25 Proj]])</f>
        <v>146.66666666666666</v>
      </c>
      <c r="AW3" s="20">
        <f>Table6[[#This Row],[Avg]]/17</f>
        <v>8.6274509803921564</v>
      </c>
    </row>
    <row r="4" spans="2:49" x14ac:dyDescent="0.35">
      <c r="B4" s="8">
        <v>2</v>
      </c>
      <c r="C4" s="38" t="s">
        <v>25</v>
      </c>
      <c r="D4" s="9" t="s">
        <v>23</v>
      </c>
      <c r="E4" s="10">
        <v>338.22</v>
      </c>
      <c r="F4" s="10">
        <v>434.38</v>
      </c>
      <c r="G4" s="10">
        <v>351.21</v>
      </c>
      <c r="H4" s="10">
        <f>AVERAGE(Table1[[#This Row],[23 Pts]:[25 Proj]])</f>
        <v>374.6033333333333</v>
      </c>
      <c r="I4" s="20">
        <f>Table1[[#This Row],[Avg]]/17</f>
        <v>22.035490196078428</v>
      </c>
      <c r="J4" s="8"/>
      <c r="L4" s="15">
        <v>3</v>
      </c>
      <c r="M4" s="39" t="s">
        <v>61</v>
      </c>
      <c r="N4" s="4" t="s">
        <v>18</v>
      </c>
      <c r="O4" s="11">
        <v>223.2</v>
      </c>
      <c r="P4" s="11">
        <v>355.3</v>
      </c>
      <c r="Q4" s="10">
        <v>296.2</v>
      </c>
      <c r="R4" s="26">
        <f>AVERAGE(Table2[[#This Row],[23 Pts]:[25 Proj]])</f>
        <v>291.56666666666666</v>
      </c>
      <c r="S4" s="20">
        <f>Table2[[#This Row],[Avg]]/17</f>
        <v>17.150980392156864</v>
      </c>
      <c r="V4" s="15">
        <v>2</v>
      </c>
      <c r="W4" s="39" t="s">
        <v>13</v>
      </c>
      <c r="X4" s="4" t="s">
        <v>14</v>
      </c>
      <c r="Y4" s="11">
        <v>403.2</v>
      </c>
      <c r="Z4" s="11">
        <v>263.39999999999998</v>
      </c>
      <c r="AA4" s="10">
        <v>288.60000000000002</v>
      </c>
      <c r="AB4" s="10">
        <f>AVERAGE(Table3[[#This Row],[23 Pts]:[25 Proj]])</f>
        <v>318.39999999999998</v>
      </c>
      <c r="AC4" s="20">
        <f>Table3[[#This Row],[Avg]]/17</f>
        <v>18.72941176470588</v>
      </c>
      <c r="AF4" s="15">
        <v>5</v>
      </c>
      <c r="AG4" s="41" t="s">
        <v>228</v>
      </c>
      <c r="AH4" s="4" t="s">
        <v>22</v>
      </c>
      <c r="AI4" s="11">
        <v>219.4</v>
      </c>
      <c r="AJ4" s="11">
        <v>195.4</v>
      </c>
      <c r="AK4" s="10">
        <v>165.2</v>
      </c>
      <c r="AL4" s="10">
        <f>AVERAGE(Table4[[#This Row],[23 Pts]:[25 Proj]])</f>
        <v>193.33333333333334</v>
      </c>
      <c r="AM4" s="20">
        <f>Table4[[#This Row],[Avg]]/17</f>
        <v>11.372549019607844</v>
      </c>
      <c r="AP4" s="5">
        <v>2</v>
      </c>
      <c r="AQ4" s="41" t="s">
        <v>272</v>
      </c>
      <c r="AR4" s="4" t="s">
        <v>23</v>
      </c>
      <c r="AS4" s="6">
        <v>174</v>
      </c>
      <c r="AT4" s="6">
        <v>142</v>
      </c>
      <c r="AU4" s="6">
        <v>120</v>
      </c>
      <c r="AV4" s="11">
        <f>AVERAGE(Table6[[#This Row],[23 Pts]:[25 Proj]])</f>
        <v>145.33333333333334</v>
      </c>
      <c r="AW4" s="20">
        <f>Table6[[#This Row],[Avg]]/17</f>
        <v>8.5490196078431371</v>
      </c>
    </row>
    <row r="5" spans="2:49" x14ac:dyDescent="0.35">
      <c r="B5" s="8">
        <v>4</v>
      </c>
      <c r="C5" s="40" t="s">
        <v>17</v>
      </c>
      <c r="D5" s="9" t="s">
        <v>18</v>
      </c>
      <c r="E5" s="10">
        <v>371.82</v>
      </c>
      <c r="F5" s="10">
        <v>320.12</v>
      </c>
      <c r="G5" s="10">
        <v>341.52</v>
      </c>
      <c r="H5" s="10">
        <f>AVERAGE(Table1[[#This Row],[23 Pts]:[25 Proj]])</f>
        <v>344.48666666666668</v>
      </c>
      <c r="I5" s="20">
        <f>Table1[[#This Row],[Avg]]/17</f>
        <v>20.263921568627453</v>
      </c>
      <c r="J5" s="8"/>
      <c r="L5" s="15">
        <v>12</v>
      </c>
      <c r="M5" s="39" t="s">
        <v>92</v>
      </c>
      <c r="N5" s="4" t="s">
        <v>40</v>
      </c>
      <c r="O5" s="11">
        <v>181.1</v>
      </c>
      <c r="P5" s="11">
        <v>283.10000000000002</v>
      </c>
      <c r="Q5" s="10">
        <v>254.5</v>
      </c>
      <c r="R5" s="26">
        <f>AVERAGE(Table2[[#This Row],[23 Pts]:[25 Proj]])</f>
        <v>239.56666666666669</v>
      </c>
      <c r="S5" s="20">
        <f>Table2[[#This Row],[Avg]]/17</f>
        <v>14.092156862745099</v>
      </c>
      <c r="V5" s="15">
        <v>3</v>
      </c>
      <c r="W5" s="39" t="s">
        <v>28</v>
      </c>
      <c r="X5" s="4" t="s">
        <v>16</v>
      </c>
      <c r="Y5" s="11">
        <v>330.9</v>
      </c>
      <c r="Z5" s="11">
        <v>316.18</v>
      </c>
      <c r="AA5" s="10">
        <v>271.3</v>
      </c>
      <c r="AB5" s="10">
        <f>AVERAGE(Table3[[#This Row],[23 Pts]:[25 Proj]])</f>
        <v>306.12666666666661</v>
      </c>
      <c r="AC5" s="20">
        <f>Table3[[#This Row],[Avg]]/17</f>
        <v>18.007450980392154</v>
      </c>
      <c r="AF5" s="15">
        <v>6</v>
      </c>
      <c r="AG5" s="41" t="s">
        <v>229</v>
      </c>
      <c r="AH5" s="4" t="s">
        <v>34</v>
      </c>
      <c r="AI5" s="11">
        <v>201.2</v>
      </c>
      <c r="AJ5" s="11">
        <v>148.5</v>
      </c>
      <c r="AK5" s="10">
        <v>152.1</v>
      </c>
      <c r="AL5" s="10">
        <f>AVERAGE(Table4[[#This Row],[23 Pts]:[25 Proj]])</f>
        <v>167.26666666666665</v>
      </c>
      <c r="AM5" s="20">
        <f>Table4[[#This Row],[Avg]]/17</f>
        <v>9.8392156862745086</v>
      </c>
      <c r="AP5" s="5">
        <v>7</v>
      </c>
      <c r="AQ5" s="41" t="s">
        <v>271</v>
      </c>
      <c r="AR5" s="4" t="s">
        <v>18</v>
      </c>
      <c r="AS5" s="6">
        <v>102</v>
      </c>
      <c r="AT5" s="6">
        <v>152</v>
      </c>
      <c r="AU5" s="6">
        <v>132</v>
      </c>
      <c r="AV5" s="11">
        <f>AVERAGE(Table6[[#This Row],[23 Pts]:[25 Proj]])</f>
        <v>128.66666666666666</v>
      </c>
      <c r="AW5" s="20">
        <f>Table6[[#This Row],[Avg]]/17</f>
        <v>7.5686274509803919</v>
      </c>
    </row>
    <row r="6" spans="2:49" x14ac:dyDescent="0.35">
      <c r="B6" s="8">
        <v>5</v>
      </c>
      <c r="C6" s="40" t="s">
        <v>70</v>
      </c>
      <c r="D6" s="9" t="s">
        <v>42</v>
      </c>
      <c r="E6" s="10">
        <v>284.06</v>
      </c>
      <c r="F6" s="10">
        <v>381.8</v>
      </c>
      <c r="G6" s="10">
        <v>307.99</v>
      </c>
      <c r="H6" s="10">
        <f>AVERAGE(Table1[[#This Row],[23 Pts]:[25 Proj]])</f>
        <v>324.61666666666667</v>
      </c>
      <c r="I6" s="20">
        <f>Table1[[#This Row],[Avg]]/17</f>
        <v>19.095098039215685</v>
      </c>
      <c r="J6" s="8"/>
      <c r="L6" s="15">
        <v>1</v>
      </c>
      <c r="M6" s="44" t="s">
        <v>54</v>
      </c>
      <c r="N6" s="4" t="s">
        <v>16</v>
      </c>
      <c r="O6" s="11">
        <v>242.1</v>
      </c>
      <c r="P6" s="11">
        <v>362.9</v>
      </c>
      <c r="Q6" s="10">
        <v>296.3</v>
      </c>
      <c r="R6" s="26">
        <f>AVERAGE(Table2[[#This Row],[23 Pts]:[25 Proj]])</f>
        <v>300.43333333333334</v>
      </c>
      <c r="S6" s="20">
        <f>Table2[[#This Row],[Avg]]/17</f>
        <v>17.672549019607843</v>
      </c>
      <c r="V6" s="15">
        <v>5</v>
      </c>
      <c r="W6" s="39" t="s">
        <v>337</v>
      </c>
      <c r="X6" s="4" t="s">
        <v>27</v>
      </c>
      <c r="Y6" s="11" t="s">
        <v>60</v>
      </c>
      <c r="Z6" s="11">
        <v>284</v>
      </c>
      <c r="AA6" s="10">
        <v>268.8</v>
      </c>
      <c r="AB6" s="10">
        <f>AVERAGE(Table3[[#This Row],[23 Pts]:[25 Proj]])</f>
        <v>276.39999999999998</v>
      </c>
      <c r="AC6" s="20">
        <f>Table3[[#This Row],[Avg]]/17</f>
        <v>16.258823529411764</v>
      </c>
      <c r="AF6" s="15">
        <v>7</v>
      </c>
      <c r="AG6" s="41" t="s">
        <v>227</v>
      </c>
      <c r="AH6" s="4" t="s">
        <v>23</v>
      </c>
      <c r="AI6" s="11">
        <v>135.4</v>
      </c>
      <c r="AJ6" s="11">
        <v>188.8</v>
      </c>
      <c r="AK6" s="10">
        <v>165.5</v>
      </c>
      <c r="AL6" s="10">
        <f>AVERAGE(Table4[[#This Row],[23 Pts]:[25 Proj]])</f>
        <v>163.23333333333335</v>
      </c>
      <c r="AM6" s="20">
        <f>Table4[[#This Row],[Avg]]/17</f>
        <v>9.6019607843137269</v>
      </c>
      <c r="AP6" s="5">
        <v>3</v>
      </c>
      <c r="AQ6" s="5" t="s">
        <v>275</v>
      </c>
      <c r="AR6" s="4" t="s">
        <v>51</v>
      </c>
      <c r="AS6" s="6">
        <v>125</v>
      </c>
      <c r="AT6" s="6">
        <v>140</v>
      </c>
      <c r="AU6" s="6">
        <v>162</v>
      </c>
      <c r="AV6" s="11">
        <f>AVERAGE(Table6[[#This Row],[23 Pts]:[25 Proj]])</f>
        <v>142.33333333333334</v>
      </c>
      <c r="AW6" s="20">
        <f>Table6[[#This Row],[Avg]]/17</f>
        <v>8.3725490196078436</v>
      </c>
    </row>
    <row r="7" spans="2:49" x14ac:dyDescent="0.35">
      <c r="B7" s="8">
        <v>6</v>
      </c>
      <c r="C7" s="40" t="s">
        <v>93</v>
      </c>
      <c r="D7" s="9" t="s">
        <v>94</v>
      </c>
      <c r="E7" s="10" t="s">
        <v>60</v>
      </c>
      <c r="F7" s="10">
        <v>329.2</v>
      </c>
      <c r="G7" s="10">
        <v>308.69</v>
      </c>
      <c r="H7" s="10">
        <f>AVERAGE(Table1[[#This Row],[23 Pts]:[25 Proj]])</f>
        <v>318.94499999999999</v>
      </c>
      <c r="I7" s="20">
        <f>Table1[[#This Row],[Avg]]/17</f>
        <v>18.761470588235294</v>
      </c>
      <c r="J7" s="8"/>
      <c r="L7" s="15">
        <v>6</v>
      </c>
      <c r="M7" s="41" t="s">
        <v>37</v>
      </c>
      <c r="N7" s="4" t="s">
        <v>38</v>
      </c>
      <c r="O7" s="11">
        <v>255</v>
      </c>
      <c r="P7" s="11">
        <v>272.10000000000002</v>
      </c>
      <c r="Q7" s="10">
        <v>225.5</v>
      </c>
      <c r="R7" s="26">
        <f>AVERAGE(Table2[[#This Row],[23 Pts]:[25 Proj]])</f>
        <v>250.86666666666667</v>
      </c>
      <c r="S7" s="20">
        <f>Table2[[#This Row],[Avg]]/17</f>
        <v>14.75686274509804</v>
      </c>
      <c r="V7" s="15">
        <v>7</v>
      </c>
      <c r="W7" s="39" t="s">
        <v>338</v>
      </c>
      <c r="X7" s="4" t="s">
        <v>87</v>
      </c>
      <c r="Y7" s="11" t="s">
        <v>60</v>
      </c>
      <c r="Z7" s="11">
        <v>273.60000000000002</v>
      </c>
      <c r="AA7" s="10">
        <v>263.7</v>
      </c>
      <c r="AB7" s="10">
        <f>AVERAGE(Table3[[#This Row],[23 Pts]:[25 Proj]])</f>
        <v>268.64999999999998</v>
      </c>
      <c r="AC7" s="20">
        <f>Table3[[#This Row],[Avg]]/17</f>
        <v>15.802941176470586</v>
      </c>
      <c r="AF7" s="15">
        <v>12</v>
      </c>
      <c r="AG7" s="41" t="s">
        <v>232</v>
      </c>
      <c r="AH7" s="4" t="s">
        <v>94</v>
      </c>
      <c r="AI7" s="11">
        <v>230.3</v>
      </c>
      <c r="AJ7" s="11">
        <v>59.5</v>
      </c>
      <c r="AK7" s="10">
        <v>147.6</v>
      </c>
      <c r="AL7" s="10">
        <f>AVERAGE(Table4[[#This Row],[23 Pts]:[25 Proj]])</f>
        <v>145.79999999999998</v>
      </c>
      <c r="AM7" s="20">
        <f>Table4[[#This Row],[Avg]]/17</f>
        <v>8.5764705882352938</v>
      </c>
      <c r="AP7" s="5">
        <v>4</v>
      </c>
      <c r="AQ7" s="5" t="s">
        <v>278</v>
      </c>
      <c r="AR7" s="4" t="s">
        <v>9</v>
      </c>
      <c r="AS7" s="6">
        <v>159</v>
      </c>
      <c r="AT7" s="6">
        <v>130</v>
      </c>
      <c r="AU7" s="6">
        <v>133</v>
      </c>
      <c r="AV7" s="11">
        <f>AVERAGE(Table6[[#This Row],[23 Pts]:[25 Proj]])</f>
        <v>140.66666666666666</v>
      </c>
      <c r="AW7" s="20">
        <f>Table6[[#This Row],[Avg]]/17</f>
        <v>8.2745098039215677</v>
      </c>
    </row>
    <row r="8" spans="2:49" x14ac:dyDescent="0.35">
      <c r="B8" s="8">
        <v>10</v>
      </c>
      <c r="C8" s="40" t="s">
        <v>98</v>
      </c>
      <c r="D8" s="9" t="s">
        <v>44</v>
      </c>
      <c r="E8" s="10">
        <v>153.16</v>
      </c>
      <c r="F8" s="10">
        <v>381.82</v>
      </c>
      <c r="G8" s="10">
        <v>325.93</v>
      </c>
      <c r="H8" s="10">
        <f>AVERAGE(Table1[[#This Row],[23 Pts]:[25 Proj]])</f>
        <v>286.97000000000003</v>
      </c>
      <c r="I8" s="20">
        <f>Table1[[#This Row],[Avg]]/17</f>
        <v>16.88058823529412</v>
      </c>
      <c r="J8" s="8"/>
      <c r="L8" s="15">
        <v>9</v>
      </c>
      <c r="M8" s="41" t="s">
        <v>135</v>
      </c>
      <c r="N8" s="4" t="s">
        <v>42</v>
      </c>
      <c r="O8" s="11" t="s">
        <v>60</v>
      </c>
      <c r="P8" s="11">
        <v>244.4</v>
      </c>
      <c r="Q8" s="10">
        <v>249.9</v>
      </c>
      <c r="R8" s="26">
        <f>AVERAGE(Table2[[#This Row],[23 Pts]:[25 Proj]])</f>
        <v>247.15</v>
      </c>
      <c r="S8" s="20">
        <f>Table2[[#This Row],[Avg]]/17</f>
        <v>14.538235294117648</v>
      </c>
      <c r="V8" s="15">
        <v>8</v>
      </c>
      <c r="W8" s="39" t="s">
        <v>335</v>
      </c>
      <c r="X8" s="4" t="s">
        <v>38</v>
      </c>
      <c r="Y8" s="11">
        <v>298.5</v>
      </c>
      <c r="Z8" s="11">
        <v>206.6</v>
      </c>
      <c r="AA8" s="10">
        <v>276.2</v>
      </c>
      <c r="AB8" s="10">
        <f>AVERAGE(Table3[[#This Row],[23 Pts]:[25 Proj]])</f>
        <v>260.43333333333334</v>
      </c>
      <c r="AC8" s="20">
        <f>Table3[[#This Row],[Avg]]/17</f>
        <v>15.319607843137256</v>
      </c>
      <c r="AF8" s="15">
        <v>14</v>
      </c>
      <c r="AG8" s="41" t="s">
        <v>238</v>
      </c>
      <c r="AH8" s="4" t="s">
        <v>31</v>
      </c>
      <c r="AI8" s="11">
        <v>137.30000000000001</v>
      </c>
      <c r="AJ8" s="11">
        <v>131.19999999999999</v>
      </c>
      <c r="AK8" s="10">
        <v>130</v>
      </c>
      <c r="AL8" s="10">
        <f>AVERAGE(Table4[[#This Row],[23 Pts]:[25 Proj]])</f>
        <v>132.83333333333334</v>
      </c>
      <c r="AM8" s="20">
        <f>Table4[[#This Row],[Avg]]/17</f>
        <v>7.8137254901960791</v>
      </c>
      <c r="AP8" s="5">
        <v>5</v>
      </c>
      <c r="AQ8" s="5" t="s">
        <v>276</v>
      </c>
      <c r="AR8" s="4" t="s">
        <v>52</v>
      </c>
      <c r="AS8" s="6">
        <v>143</v>
      </c>
      <c r="AT8" s="6">
        <v>137</v>
      </c>
      <c r="AU8" s="6">
        <v>140</v>
      </c>
      <c r="AV8" s="11">
        <f>AVERAGE(Table6[[#This Row],[23 Pts]:[25 Proj]])</f>
        <v>140</v>
      </c>
      <c r="AW8" s="20">
        <f>Table6[[#This Row],[Avg]]/17</f>
        <v>8.235294117647058</v>
      </c>
    </row>
    <row r="9" spans="2:49" x14ac:dyDescent="0.35">
      <c r="B9" s="8">
        <v>19</v>
      </c>
      <c r="C9" s="40" t="s">
        <v>29</v>
      </c>
      <c r="D9" s="9" t="s">
        <v>14</v>
      </c>
      <c r="E9" s="10">
        <v>351.84</v>
      </c>
      <c r="F9" s="10">
        <v>124.52</v>
      </c>
      <c r="G9" s="10">
        <v>283.10000000000002</v>
      </c>
      <c r="H9" s="10">
        <f>AVERAGE(Table1[[#This Row],[23 Pts]:[25 Proj]])</f>
        <v>253.15333333333334</v>
      </c>
      <c r="I9" s="20">
        <f>Table1[[#This Row],[Avg]]/17</f>
        <v>14.891372549019607</v>
      </c>
      <c r="J9" s="8"/>
      <c r="L9" s="15">
        <v>10</v>
      </c>
      <c r="M9" s="41" t="s">
        <v>69</v>
      </c>
      <c r="N9" s="4" t="s">
        <v>9</v>
      </c>
      <c r="O9" s="11">
        <v>232.7</v>
      </c>
      <c r="P9" s="11">
        <v>266.7</v>
      </c>
      <c r="Q9" s="10">
        <v>225.1</v>
      </c>
      <c r="R9" s="26">
        <f>AVERAGE(Table2[[#This Row],[23 Pts]:[25 Proj]])</f>
        <v>241.5</v>
      </c>
      <c r="S9" s="20">
        <f>Table2[[#This Row],[Avg]]/17</f>
        <v>14.205882352941176</v>
      </c>
      <c r="V9" s="15">
        <v>16</v>
      </c>
      <c r="W9" s="39" t="s">
        <v>339</v>
      </c>
      <c r="X9" s="4" t="s">
        <v>31</v>
      </c>
      <c r="Y9" s="11">
        <v>174.38</v>
      </c>
      <c r="Z9" s="11">
        <v>280.8</v>
      </c>
      <c r="AA9" s="10">
        <v>247.2</v>
      </c>
      <c r="AB9" s="10">
        <f>AVERAGE(Table3[[#This Row],[23 Pts]:[25 Proj]])</f>
        <v>234.12666666666667</v>
      </c>
      <c r="AC9" s="20">
        <f>Table3[[#This Row],[Avg]]/17</f>
        <v>13.772156862745097</v>
      </c>
      <c r="AF9" s="15">
        <v>28</v>
      </c>
      <c r="AG9" s="41" t="s">
        <v>250</v>
      </c>
      <c r="AH9" s="4" t="s">
        <v>21</v>
      </c>
      <c r="AI9" s="11">
        <v>113.2</v>
      </c>
      <c r="AJ9" s="11" t="s">
        <v>60</v>
      </c>
      <c r="AK9" s="10">
        <v>105.2</v>
      </c>
      <c r="AL9" s="10">
        <f>AVERAGE(Table4[[#This Row],[23 Pts]:[25 Proj]])</f>
        <v>109.2</v>
      </c>
      <c r="AM9" s="20">
        <f>Table4[[#This Row],[Avg]]/17</f>
        <v>6.4235294117647062</v>
      </c>
      <c r="AP9" s="5">
        <v>6</v>
      </c>
      <c r="AQ9" s="5" t="s">
        <v>273</v>
      </c>
      <c r="AR9" s="4" t="s">
        <v>48</v>
      </c>
      <c r="AS9" s="6">
        <v>131</v>
      </c>
      <c r="AT9" s="6">
        <v>141</v>
      </c>
      <c r="AU9" s="6">
        <v>141</v>
      </c>
      <c r="AV9" s="11">
        <f>AVERAGE(Table6[[#This Row],[23 Pts]:[25 Proj]])</f>
        <v>137.66666666666666</v>
      </c>
      <c r="AW9" s="20">
        <f>Table6[[#This Row],[Avg]]/17</f>
        <v>8.0980392156862742</v>
      </c>
    </row>
    <row r="10" spans="2:49" x14ac:dyDescent="0.35">
      <c r="B10" s="8">
        <v>3</v>
      </c>
      <c r="C10" s="8" t="s">
        <v>58</v>
      </c>
      <c r="D10" s="9" t="s">
        <v>59</v>
      </c>
      <c r="E10" s="10" t="s">
        <v>60</v>
      </c>
      <c r="F10" s="10">
        <v>364.82</v>
      </c>
      <c r="G10" s="10">
        <v>350.52</v>
      </c>
      <c r="H10" s="10">
        <f>AVERAGE(Table1[[#This Row],[23 Pts]:[25 Proj]])</f>
        <v>357.66999999999996</v>
      </c>
      <c r="I10" s="20">
        <f>Table1[[#This Row],[Avg]]/17</f>
        <v>21.039411764705878</v>
      </c>
      <c r="J10" s="8"/>
      <c r="L10" s="15">
        <v>15</v>
      </c>
      <c r="M10" s="41" t="s">
        <v>95</v>
      </c>
      <c r="N10" s="4" t="s">
        <v>46</v>
      </c>
      <c r="O10" s="11">
        <v>201.5</v>
      </c>
      <c r="P10" s="11">
        <v>253.8</v>
      </c>
      <c r="Q10" s="10">
        <v>211</v>
      </c>
      <c r="R10" s="26">
        <f>AVERAGE(Table2[[#This Row],[23 Pts]:[25 Proj]])</f>
        <v>222.1</v>
      </c>
      <c r="S10" s="20">
        <f>Table2[[#This Row],[Avg]]/17</f>
        <v>13.064705882352941</v>
      </c>
      <c r="V10" s="15">
        <v>4</v>
      </c>
      <c r="W10" s="41" t="s">
        <v>266</v>
      </c>
      <c r="X10" s="4" t="s">
        <v>21</v>
      </c>
      <c r="Y10" s="11">
        <v>376.4</v>
      </c>
      <c r="Z10" s="11">
        <v>218.2</v>
      </c>
      <c r="AA10" s="10">
        <v>243.7</v>
      </c>
      <c r="AB10" s="10">
        <f>AVERAGE(Table3[[#This Row],[23 Pts]:[25 Proj]])</f>
        <v>279.43333333333334</v>
      </c>
      <c r="AC10" s="20">
        <f>Table3[[#This Row],[Avg]]/17</f>
        <v>16.437254901960785</v>
      </c>
      <c r="AF10" s="15">
        <v>1</v>
      </c>
      <c r="AG10" s="5" t="s">
        <v>77</v>
      </c>
      <c r="AH10" s="4" t="s">
        <v>65</v>
      </c>
      <c r="AI10" s="11" t="s">
        <v>60</v>
      </c>
      <c r="AJ10" s="11">
        <v>262.7</v>
      </c>
      <c r="AK10" s="10">
        <v>238.8</v>
      </c>
      <c r="AL10" s="10">
        <f>AVERAGE(Table4[[#This Row],[23 Pts]:[25 Proj]])</f>
        <v>250.75</v>
      </c>
      <c r="AM10" s="20">
        <f>Table4[[#This Row],[Avg]]/17</f>
        <v>14.75</v>
      </c>
      <c r="AP10" s="5">
        <v>8</v>
      </c>
      <c r="AQ10" s="5" t="s">
        <v>280</v>
      </c>
      <c r="AR10" s="4" t="s">
        <v>14</v>
      </c>
      <c r="AS10" s="6">
        <v>172</v>
      </c>
      <c r="AT10" s="6">
        <v>120</v>
      </c>
      <c r="AU10" s="6">
        <v>93</v>
      </c>
      <c r="AV10" s="11">
        <f>AVERAGE(Table6[[#This Row],[23 Pts]:[25 Proj]])</f>
        <v>128.33333333333334</v>
      </c>
      <c r="AW10" s="20">
        <f>Table6[[#This Row],[Avg]]/17</f>
        <v>7.549019607843138</v>
      </c>
    </row>
    <row r="11" spans="2:49" x14ac:dyDescent="0.35">
      <c r="B11" s="8">
        <v>7</v>
      </c>
      <c r="C11" s="8" t="s">
        <v>56</v>
      </c>
      <c r="D11" s="9" t="s">
        <v>16</v>
      </c>
      <c r="E11" s="10">
        <v>301.10000000000002</v>
      </c>
      <c r="F11" s="10">
        <v>336.46</v>
      </c>
      <c r="G11" s="10">
        <v>294.51</v>
      </c>
      <c r="H11" s="10">
        <f>AVERAGE(Table1[[#This Row],[23 Pts]:[25 Proj]])</f>
        <v>310.69</v>
      </c>
      <c r="I11" s="20">
        <f>Table1[[#This Row],[Avg]]/17</f>
        <v>18.275882352941178</v>
      </c>
      <c r="J11" s="8"/>
      <c r="L11" s="17">
        <v>17</v>
      </c>
      <c r="M11" s="41" t="s">
        <v>89</v>
      </c>
      <c r="N11" s="4" t="s">
        <v>73</v>
      </c>
      <c r="O11" s="11">
        <v>156.4</v>
      </c>
      <c r="P11" s="11">
        <v>244.7</v>
      </c>
      <c r="Q11" s="10">
        <v>242.4</v>
      </c>
      <c r="R11" s="26">
        <f>AVERAGE(Table2[[#This Row],[23 Pts]:[25 Proj]])</f>
        <v>214.5</v>
      </c>
      <c r="S11" s="20">
        <f>Table2[[#This Row],[Avg]]/17</f>
        <v>12.617647058823529</v>
      </c>
      <c r="V11" s="15">
        <v>11</v>
      </c>
      <c r="W11" s="44" t="s">
        <v>336</v>
      </c>
      <c r="X11" s="4" t="s">
        <v>48</v>
      </c>
      <c r="Y11" s="11">
        <v>260.39999999999998</v>
      </c>
      <c r="Z11" s="11">
        <v>210.6</v>
      </c>
      <c r="AA11" s="10">
        <v>273.10000000000002</v>
      </c>
      <c r="AB11" s="10">
        <f>AVERAGE(Table3[[#This Row],[23 Pts]:[25 Proj]])</f>
        <v>248.03333333333333</v>
      </c>
      <c r="AC11" s="20">
        <f>Table3[[#This Row],[Avg]]/17</f>
        <v>14.590196078431372</v>
      </c>
      <c r="AF11" s="15">
        <v>2</v>
      </c>
      <c r="AG11" s="5" t="s">
        <v>45</v>
      </c>
      <c r="AH11" s="4" t="s">
        <v>46</v>
      </c>
      <c r="AI11" s="11">
        <v>181.5</v>
      </c>
      <c r="AJ11" s="11">
        <v>249.8</v>
      </c>
      <c r="AK11" s="10">
        <v>241.4</v>
      </c>
      <c r="AL11" s="10">
        <f>AVERAGE(Table4[[#This Row],[23 Pts]:[25 Proj]])</f>
        <v>224.23333333333335</v>
      </c>
      <c r="AM11" s="20">
        <f>Table4[[#This Row],[Avg]]/17</f>
        <v>13.190196078431374</v>
      </c>
      <c r="AP11" s="5">
        <v>9</v>
      </c>
      <c r="AQ11" s="5" t="s">
        <v>284</v>
      </c>
      <c r="AR11" s="4" t="s">
        <v>40</v>
      </c>
      <c r="AS11" s="6">
        <v>115</v>
      </c>
      <c r="AT11" s="6">
        <v>109</v>
      </c>
      <c r="AU11" s="6">
        <v>148</v>
      </c>
      <c r="AV11" s="11">
        <f>AVERAGE(Table6[[#This Row],[23 Pts]:[25 Proj]])</f>
        <v>124</v>
      </c>
      <c r="AW11" s="20">
        <f>Table6[[#This Row],[Avg]]/17</f>
        <v>7.2941176470588234</v>
      </c>
    </row>
    <row r="12" spans="2:49" x14ac:dyDescent="0.35">
      <c r="B12" s="8">
        <v>8</v>
      </c>
      <c r="C12" s="8" t="s">
        <v>36</v>
      </c>
      <c r="D12" s="9" t="s">
        <v>22</v>
      </c>
      <c r="E12" s="10">
        <v>294.22000000000003</v>
      </c>
      <c r="F12" s="10">
        <v>294.02</v>
      </c>
      <c r="G12" s="10">
        <v>318.66000000000003</v>
      </c>
      <c r="H12" s="10">
        <f>AVERAGE(Table1[[#This Row],[23 Pts]:[25 Proj]])</f>
        <v>302.3</v>
      </c>
      <c r="I12" s="20">
        <f>Table1[[#This Row],[Avg]]/17</f>
        <v>17.78235294117647</v>
      </c>
      <c r="J12" s="8"/>
      <c r="L12" s="15">
        <v>21</v>
      </c>
      <c r="M12" s="41" t="s">
        <v>99</v>
      </c>
      <c r="N12" s="4" t="s">
        <v>55</v>
      </c>
      <c r="O12" s="11">
        <v>199.3</v>
      </c>
      <c r="P12" s="11">
        <v>214.5</v>
      </c>
      <c r="Q12" s="10">
        <v>178.5</v>
      </c>
      <c r="R12" s="26">
        <f>AVERAGE(Table2[[#This Row],[23 Pts]:[25 Proj]])</f>
        <v>197.43333333333331</v>
      </c>
      <c r="S12" s="20">
        <f>Table2[[#This Row],[Avg]]/17</f>
        <v>11.613725490196076</v>
      </c>
      <c r="V12" s="15">
        <v>12</v>
      </c>
      <c r="W12" s="41" t="s">
        <v>347</v>
      </c>
      <c r="X12" s="4" t="s">
        <v>55</v>
      </c>
      <c r="Y12" s="11">
        <v>286.5</v>
      </c>
      <c r="Z12" s="11">
        <v>238.1</v>
      </c>
      <c r="AA12" s="10">
        <v>211.3</v>
      </c>
      <c r="AB12" s="10">
        <f>AVERAGE(Table3[[#This Row],[23 Pts]:[25 Proj]])</f>
        <v>245.30000000000004</v>
      </c>
      <c r="AC12" s="20">
        <f>Table3[[#This Row],[Avg]]/17</f>
        <v>14.429411764705884</v>
      </c>
      <c r="AF12" s="15">
        <v>4</v>
      </c>
      <c r="AG12" s="5" t="s">
        <v>15</v>
      </c>
      <c r="AH12" s="4" t="s">
        <v>16</v>
      </c>
      <c r="AI12" s="11">
        <v>239.3</v>
      </c>
      <c r="AJ12" s="11">
        <v>174.6</v>
      </c>
      <c r="AK12" s="10">
        <v>182.2</v>
      </c>
      <c r="AL12" s="10">
        <f>AVERAGE(Table4[[#This Row],[23 Pts]:[25 Proj]])</f>
        <v>198.69999999999996</v>
      </c>
      <c r="AM12" s="20">
        <f>Table4[[#This Row],[Avg]]/17</f>
        <v>11.688235294117645</v>
      </c>
      <c r="AP12" s="5">
        <v>10</v>
      </c>
      <c r="AQ12" s="5" t="s">
        <v>277</v>
      </c>
      <c r="AR12" s="4" t="s">
        <v>22</v>
      </c>
      <c r="AS12" s="6">
        <v>134</v>
      </c>
      <c r="AT12" s="6">
        <v>132</v>
      </c>
      <c r="AU12" s="6">
        <v>106</v>
      </c>
      <c r="AV12" s="11">
        <f>AVERAGE(Table6[[#This Row],[23 Pts]:[25 Proj]])</f>
        <v>124</v>
      </c>
      <c r="AW12" s="20">
        <f>Table6[[#This Row],[Avg]]/17</f>
        <v>7.2941176470588234</v>
      </c>
    </row>
    <row r="13" spans="2:49" x14ac:dyDescent="0.35">
      <c r="B13" s="8">
        <v>9</v>
      </c>
      <c r="C13" s="8" t="s">
        <v>53</v>
      </c>
      <c r="D13" s="9" t="s">
        <v>12</v>
      </c>
      <c r="E13" s="10">
        <v>306.60000000000002</v>
      </c>
      <c r="F13" s="10">
        <v>278.86</v>
      </c>
      <c r="G13" s="10">
        <v>303.23</v>
      </c>
      <c r="H13" s="10">
        <f>AVERAGE(Table1[[#This Row],[23 Pts]:[25 Proj]])</f>
        <v>296.23</v>
      </c>
      <c r="I13" s="20">
        <f>Table1[[#This Row],[Avg]]/17</f>
        <v>17.425294117647059</v>
      </c>
      <c r="J13" s="8"/>
      <c r="L13" s="15">
        <v>30</v>
      </c>
      <c r="M13" s="41" t="s">
        <v>129</v>
      </c>
      <c r="N13" s="4" t="s">
        <v>44</v>
      </c>
      <c r="O13" s="11">
        <v>53.5</v>
      </c>
      <c r="P13" s="11">
        <v>255</v>
      </c>
      <c r="Q13" s="10">
        <v>220</v>
      </c>
      <c r="R13" s="26">
        <f>AVERAGE(Table2[[#This Row],[23 Pts]:[25 Proj]])</f>
        <v>176.16666666666666</v>
      </c>
      <c r="S13" s="20">
        <f>Table2[[#This Row],[Avg]]/17</f>
        <v>10.362745098039214</v>
      </c>
      <c r="V13" s="15">
        <v>13</v>
      </c>
      <c r="W13" s="41" t="s">
        <v>340</v>
      </c>
      <c r="X13" s="4" t="s">
        <v>79</v>
      </c>
      <c r="Y13" s="11" t="s">
        <v>60</v>
      </c>
      <c r="Z13" s="11">
        <v>240.9</v>
      </c>
      <c r="AA13" s="10">
        <v>242.1</v>
      </c>
      <c r="AB13" s="10">
        <f>AVERAGE(Table3[[#This Row],[23 Pts]:[25 Proj]])</f>
        <v>241.5</v>
      </c>
      <c r="AC13" s="20">
        <f>Table3[[#This Row],[Avg]]/17</f>
        <v>14.205882352941176</v>
      </c>
      <c r="AF13" s="15">
        <v>8</v>
      </c>
      <c r="AG13" s="5" t="s">
        <v>50</v>
      </c>
      <c r="AH13" s="4" t="s">
        <v>51</v>
      </c>
      <c r="AI13" s="11">
        <v>219</v>
      </c>
      <c r="AJ13" s="11">
        <v>86.5</v>
      </c>
      <c r="AK13" s="10">
        <v>172.8</v>
      </c>
      <c r="AL13" s="10">
        <f>AVERAGE(Table4[[#This Row],[23 Pts]:[25 Proj]])</f>
        <v>159.43333333333334</v>
      </c>
      <c r="AM13" s="20">
        <f>Table4[[#This Row],[Avg]]/17</f>
        <v>9.37843137254902</v>
      </c>
      <c r="AP13" s="5">
        <v>11</v>
      </c>
      <c r="AQ13" s="5" t="s">
        <v>279</v>
      </c>
      <c r="AR13" s="4" t="s">
        <v>16</v>
      </c>
      <c r="AS13" s="6">
        <v>109</v>
      </c>
      <c r="AT13" s="6">
        <v>128</v>
      </c>
      <c r="AU13" s="6">
        <v>117</v>
      </c>
      <c r="AV13" s="11">
        <f>AVERAGE(Table6[[#This Row],[23 Pts]:[25 Proj]])</f>
        <v>118</v>
      </c>
      <c r="AW13" s="20">
        <f>Table6[[#This Row],[Avg]]/17</f>
        <v>6.9411764705882355</v>
      </c>
    </row>
    <row r="14" spans="2:49" x14ac:dyDescent="0.35">
      <c r="B14" s="8">
        <v>11</v>
      </c>
      <c r="C14" s="8" t="s">
        <v>114</v>
      </c>
      <c r="D14" s="9" t="s">
        <v>85</v>
      </c>
      <c r="E14" s="10" t="s">
        <v>60</v>
      </c>
      <c r="F14" s="10">
        <v>319.95999999999998</v>
      </c>
      <c r="G14" s="10">
        <v>248.93</v>
      </c>
      <c r="H14" s="10">
        <f>AVERAGE(Table1[[#This Row],[23 Pts]:[25 Proj]])</f>
        <v>284.44499999999999</v>
      </c>
      <c r="I14" s="20">
        <f>Table1[[#This Row],[Avg]]/17</f>
        <v>16.73205882352941</v>
      </c>
      <c r="J14" s="8"/>
      <c r="L14" s="17">
        <v>5</v>
      </c>
      <c r="M14" s="42" t="s">
        <v>177</v>
      </c>
      <c r="N14" s="4" t="s">
        <v>65</v>
      </c>
      <c r="O14" s="11" t="s">
        <v>60</v>
      </c>
      <c r="P14" s="11" t="s">
        <v>60</v>
      </c>
      <c r="Q14" s="10">
        <v>256.39999999999998</v>
      </c>
      <c r="R14" s="26">
        <f>AVERAGE(Table2[[#This Row],[23 Pts]:[25 Proj]])</f>
        <v>256.39999999999998</v>
      </c>
      <c r="S14" s="20">
        <f>Table2[[#This Row],[Avg]]/17</f>
        <v>15.082352941176469</v>
      </c>
      <c r="V14" s="15">
        <v>18</v>
      </c>
      <c r="W14" s="41" t="s">
        <v>342</v>
      </c>
      <c r="X14" s="4" t="s">
        <v>46</v>
      </c>
      <c r="Y14" s="11" t="s">
        <v>60</v>
      </c>
      <c r="Z14" s="11">
        <v>196.5</v>
      </c>
      <c r="AA14" s="10">
        <v>234.8</v>
      </c>
      <c r="AB14" s="10">
        <f>AVERAGE(Table3[[#This Row],[23 Pts]:[25 Proj]])</f>
        <v>215.65</v>
      </c>
      <c r="AC14" s="20">
        <f>Table3[[#This Row],[Avg]]/17</f>
        <v>12.685294117647059</v>
      </c>
      <c r="AF14" s="15">
        <v>9</v>
      </c>
      <c r="AG14" s="5" t="s">
        <v>244</v>
      </c>
      <c r="AH14" s="4" t="s">
        <v>52</v>
      </c>
      <c r="AI14" s="11">
        <v>124.2</v>
      </c>
      <c r="AJ14" s="11">
        <v>222.3</v>
      </c>
      <c r="AK14" s="10">
        <v>109.4</v>
      </c>
      <c r="AL14" s="10">
        <f>AVERAGE(Table4[[#This Row],[23 Pts]:[25 Proj]])</f>
        <v>151.96666666666667</v>
      </c>
      <c r="AM14" s="20">
        <f>Table4[[#This Row],[Avg]]/17</f>
        <v>8.93921568627451</v>
      </c>
      <c r="AP14" s="5">
        <v>12</v>
      </c>
      <c r="AQ14" s="5" t="s">
        <v>282</v>
      </c>
      <c r="AR14" s="4" t="s">
        <v>21</v>
      </c>
      <c r="AS14" s="6">
        <v>152</v>
      </c>
      <c r="AT14" s="6">
        <v>110</v>
      </c>
      <c r="AU14" s="6">
        <v>84</v>
      </c>
      <c r="AV14" s="11">
        <f>AVERAGE(Table6[[#This Row],[23 Pts]:[25 Proj]])</f>
        <v>115.33333333333333</v>
      </c>
      <c r="AW14" s="20">
        <f>Table6[[#This Row],[Avg]]/17</f>
        <v>6.784313725490196</v>
      </c>
    </row>
    <row r="15" spans="2:49" x14ac:dyDescent="0.35">
      <c r="B15" s="8">
        <v>12</v>
      </c>
      <c r="C15" s="8" t="s">
        <v>132</v>
      </c>
      <c r="D15" s="9" t="s">
        <v>51</v>
      </c>
      <c r="E15" s="10" t="s">
        <v>60</v>
      </c>
      <c r="F15" s="10" t="s">
        <v>60</v>
      </c>
      <c r="G15" s="10">
        <v>284.16000000000003</v>
      </c>
      <c r="H15" s="10">
        <f>AVERAGE(Table1[[#This Row],[23 Pts]:[25 Proj]])</f>
        <v>284.16000000000003</v>
      </c>
      <c r="I15" s="20">
        <f>Table1[[#This Row],[Avg]]/17</f>
        <v>16.715294117647062</v>
      </c>
      <c r="J15" s="8"/>
      <c r="L15" s="15">
        <v>16</v>
      </c>
      <c r="M15" s="42" t="s">
        <v>178</v>
      </c>
      <c r="N15" s="4" t="s">
        <v>79</v>
      </c>
      <c r="O15" s="11" t="s">
        <v>60</v>
      </c>
      <c r="P15" s="11" t="s">
        <v>60</v>
      </c>
      <c r="Q15" s="10">
        <v>216.4</v>
      </c>
      <c r="R15" s="26">
        <f>AVERAGE(Table2[[#This Row],[23 Pts]:[25 Proj]])</f>
        <v>216.4</v>
      </c>
      <c r="S15" s="20">
        <f>Table2[[#This Row],[Avg]]/17</f>
        <v>12.729411764705883</v>
      </c>
      <c r="V15" s="15">
        <v>21</v>
      </c>
      <c r="W15" s="41" t="s">
        <v>355</v>
      </c>
      <c r="X15" s="4" t="s">
        <v>81</v>
      </c>
      <c r="Y15" s="11">
        <v>229.9</v>
      </c>
      <c r="Z15" s="11">
        <v>199.2</v>
      </c>
      <c r="AA15" s="10">
        <v>199.4</v>
      </c>
      <c r="AB15" s="10">
        <f>AVERAGE(Table3[[#This Row],[23 Pts]:[25 Proj]])</f>
        <v>209.5</v>
      </c>
      <c r="AC15" s="20">
        <f>Table3[[#This Row],[Avg]]/17</f>
        <v>12.323529411764707</v>
      </c>
      <c r="AF15" s="15">
        <v>10</v>
      </c>
      <c r="AG15" s="5" t="s">
        <v>230</v>
      </c>
      <c r="AH15" s="4" t="s">
        <v>55</v>
      </c>
      <c r="AI15" s="11" t="s">
        <v>60</v>
      </c>
      <c r="AJ15" s="11" t="s">
        <v>60</v>
      </c>
      <c r="AK15" s="10">
        <v>146.80000000000001</v>
      </c>
      <c r="AL15" s="10">
        <f>AVERAGE(Table4[[#This Row],[23 Pts]:[25 Proj]])</f>
        <v>146.80000000000001</v>
      </c>
      <c r="AM15" s="20">
        <f>Table4[[#This Row],[Avg]]/17</f>
        <v>8.6352941176470601</v>
      </c>
      <c r="AP15" s="5">
        <v>13</v>
      </c>
      <c r="AQ15" s="5" t="s">
        <v>287</v>
      </c>
      <c r="AR15" s="4" t="s">
        <v>42</v>
      </c>
      <c r="AS15" s="6">
        <v>135</v>
      </c>
      <c r="AT15" s="6">
        <v>101</v>
      </c>
      <c r="AU15" s="6">
        <v>104</v>
      </c>
      <c r="AV15" s="11">
        <f>AVERAGE(Table6[[#This Row],[23 Pts]:[25 Proj]])</f>
        <v>113.33333333333333</v>
      </c>
      <c r="AW15" s="20">
        <f>Table6[[#This Row],[Avg]]/17</f>
        <v>6.6666666666666661</v>
      </c>
    </row>
    <row r="16" spans="2:49" x14ac:dyDescent="0.35">
      <c r="B16" s="8">
        <v>13</v>
      </c>
      <c r="C16" s="8" t="s">
        <v>39</v>
      </c>
      <c r="D16" s="9" t="s">
        <v>40</v>
      </c>
      <c r="E16" s="10">
        <v>330.06</v>
      </c>
      <c r="F16" s="10">
        <v>244.86</v>
      </c>
      <c r="G16" s="10">
        <v>274.56</v>
      </c>
      <c r="H16" s="10">
        <f>AVERAGE(Table1[[#This Row],[23 Pts]:[25 Proj]])</f>
        <v>283.16000000000003</v>
      </c>
      <c r="I16" s="20">
        <f>Table1[[#This Row],[Avg]]/17</f>
        <v>16.656470588235294</v>
      </c>
      <c r="J16" s="8"/>
      <c r="L16" s="15">
        <v>19</v>
      </c>
      <c r="M16" s="42" t="s">
        <v>86</v>
      </c>
      <c r="N16" s="4" t="s">
        <v>16</v>
      </c>
      <c r="O16" s="11">
        <v>207.2</v>
      </c>
      <c r="P16" s="11">
        <v>221.72</v>
      </c>
      <c r="Q16" s="10">
        <v>178</v>
      </c>
      <c r="R16" s="26">
        <f>AVERAGE(Table2[[#This Row],[23 Pts]:[25 Proj]])</f>
        <v>202.30666666666664</v>
      </c>
      <c r="S16" s="20">
        <f>Table2[[#This Row],[Avg]]/17</f>
        <v>11.900392156862743</v>
      </c>
      <c r="V16" s="15">
        <v>24</v>
      </c>
      <c r="W16" s="41" t="s">
        <v>346</v>
      </c>
      <c r="X16" s="4" t="s">
        <v>85</v>
      </c>
      <c r="Y16" s="11">
        <v>149.80000000000001</v>
      </c>
      <c r="Z16" s="11">
        <v>253</v>
      </c>
      <c r="AA16" s="10">
        <v>217.1</v>
      </c>
      <c r="AB16" s="10">
        <f>AVERAGE(Table3[[#This Row],[23 Pts]:[25 Proj]])</f>
        <v>206.63333333333333</v>
      </c>
      <c r="AC16" s="20">
        <f>Table3[[#This Row],[Avg]]/17</f>
        <v>12.154901960784313</v>
      </c>
      <c r="AF16" s="15">
        <v>11</v>
      </c>
      <c r="AG16" s="5" t="s">
        <v>231</v>
      </c>
      <c r="AH16" s="4" t="s">
        <v>73</v>
      </c>
      <c r="AI16" s="11" t="s">
        <v>60</v>
      </c>
      <c r="AJ16" s="11" t="s">
        <v>60</v>
      </c>
      <c r="AK16" s="10">
        <v>146.5</v>
      </c>
      <c r="AL16" s="10">
        <f>AVERAGE(Table4[[#This Row],[23 Pts]:[25 Proj]])</f>
        <v>146.5</v>
      </c>
      <c r="AM16" s="20">
        <f>Table4[[#This Row],[Avg]]/17</f>
        <v>8.617647058823529</v>
      </c>
      <c r="AP16" s="5">
        <v>14</v>
      </c>
      <c r="AQ16" s="5" t="s">
        <v>292</v>
      </c>
      <c r="AR16" s="4" t="s">
        <v>20</v>
      </c>
      <c r="AS16" s="6">
        <v>157</v>
      </c>
      <c r="AT16" s="6">
        <v>93</v>
      </c>
      <c r="AU16" s="6">
        <v>89</v>
      </c>
      <c r="AV16" s="11">
        <f>AVERAGE(Table6[[#This Row],[23 Pts]:[25 Proj]])</f>
        <v>113</v>
      </c>
      <c r="AW16" s="20">
        <f>Table6[[#This Row],[Avg]]/17</f>
        <v>6.6470588235294121</v>
      </c>
    </row>
    <row r="17" spans="2:49" x14ac:dyDescent="0.35">
      <c r="B17" s="8">
        <v>14</v>
      </c>
      <c r="C17" s="8" t="s">
        <v>63</v>
      </c>
      <c r="D17" s="9" t="s">
        <v>55</v>
      </c>
      <c r="E17" s="10" t="s">
        <v>60</v>
      </c>
      <c r="F17" s="10">
        <v>260.54000000000002</v>
      </c>
      <c r="G17" s="10">
        <v>281.41000000000003</v>
      </c>
      <c r="H17" s="10">
        <f>AVERAGE(Table1[[#This Row],[23 Pts]:[25 Proj]])</f>
        <v>270.97500000000002</v>
      </c>
      <c r="I17" s="20">
        <f>Table1[[#This Row],[Avg]]/17</f>
        <v>15.939705882352943</v>
      </c>
      <c r="J17" s="8"/>
      <c r="L17" s="15">
        <v>25</v>
      </c>
      <c r="M17" s="42" t="s">
        <v>179</v>
      </c>
      <c r="N17" s="4" t="s">
        <v>94</v>
      </c>
      <c r="O17" s="11" t="s">
        <v>60</v>
      </c>
      <c r="P17" s="11" t="s">
        <v>60</v>
      </c>
      <c r="Q17" s="10">
        <v>185.2</v>
      </c>
      <c r="R17" s="26">
        <f>AVERAGE(Table2[[#This Row],[23 Pts]:[25 Proj]])</f>
        <v>185.2</v>
      </c>
      <c r="S17" s="20">
        <f>Table2[[#This Row],[Avg]]/17</f>
        <v>10.894117647058822</v>
      </c>
      <c r="V17" s="15">
        <v>28</v>
      </c>
      <c r="W17" s="41" t="s">
        <v>350</v>
      </c>
      <c r="X17" s="4" t="s">
        <v>22</v>
      </c>
      <c r="Y17" s="11" t="s">
        <v>60</v>
      </c>
      <c r="Z17" s="11">
        <v>187.2</v>
      </c>
      <c r="AA17" s="10">
        <v>207.2</v>
      </c>
      <c r="AB17" s="10">
        <f>AVERAGE(Table3[[#This Row],[23 Pts]:[25 Proj]])</f>
        <v>197.2</v>
      </c>
      <c r="AC17" s="20">
        <f>Table3[[#This Row],[Avg]]/17</f>
        <v>11.6</v>
      </c>
      <c r="AF17" s="15">
        <v>13</v>
      </c>
      <c r="AG17" s="5" t="s">
        <v>233</v>
      </c>
      <c r="AH17" s="4" t="s">
        <v>14</v>
      </c>
      <c r="AI17" s="11">
        <v>177.1</v>
      </c>
      <c r="AJ17" s="11">
        <v>104.4</v>
      </c>
      <c r="AK17" s="10">
        <v>145.19999999999999</v>
      </c>
      <c r="AL17" s="10">
        <f>AVERAGE(Table4[[#This Row],[23 Pts]:[25 Proj]])</f>
        <v>142.23333333333332</v>
      </c>
      <c r="AM17" s="20">
        <f>Table4[[#This Row],[Avg]]/17</f>
        <v>8.3666666666666654</v>
      </c>
      <c r="AP17" s="5">
        <v>15</v>
      </c>
      <c r="AQ17" s="5" t="s">
        <v>286</v>
      </c>
      <c r="AR17" s="4" t="s">
        <v>85</v>
      </c>
      <c r="AS17" s="6">
        <v>109</v>
      </c>
      <c r="AT17" s="6">
        <v>101</v>
      </c>
      <c r="AU17" s="6">
        <v>129</v>
      </c>
      <c r="AV17" s="11">
        <f>AVERAGE(Table6[[#This Row],[23 Pts]:[25 Proj]])</f>
        <v>113</v>
      </c>
      <c r="AW17" s="20">
        <f>Table6[[#This Row],[Avg]]/17</f>
        <v>6.6470588235294121</v>
      </c>
    </row>
    <row r="18" spans="2:49" x14ac:dyDescent="0.35">
      <c r="B18" s="8">
        <v>15</v>
      </c>
      <c r="C18" s="8" t="s">
        <v>78</v>
      </c>
      <c r="D18" s="9" t="s">
        <v>79</v>
      </c>
      <c r="E18" s="10">
        <v>241.16</v>
      </c>
      <c r="F18" s="10">
        <v>288.39999999999998</v>
      </c>
      <c r="G18" s="10">
        <v>281.5</v>
      </c>
      <c r="H18" s="10">
        <f>AVERAGE(Table1[[#This Row],[23 Pts]:[25 Proj]])</f>
        <v>270.3533333333333</v>
      </c>
      <c r="I18" s="20">
        <f>Table1[[#This Row],[Avg]]/17</f>
        <v>15.903137254901958</v>
      </c>
      <c r="J18" s="8"/>
      <c r="L18" s="15">
        <v>28</v>
      </c>
      <c r="M18" s="42" t="s">
        <v>180</v>
      </c>
      <c r="N18" s="4" t="s">
        <v>83</v>
      </c>
      <c r="O18" s="11" t="s">
        <v>60</v>
      </c>
      <c r="P18" s="11" t="s">
        <v>60</v>
      </c>
      <c r="Q18" s="10">
        <v>181.5</v>
      </c>
      <c r="R18" s="26">
        <f>AVERAGE(Table2[[#This Row],[23 Pts]:[25 Proj]])</f>
        <v>181.5</v>
      </c>
      <c r="S18" s="20">
        <f>Table2[[#This Row],[Avg]]/17</f>
        <v>10.676470588235293</v>
      </c>
      <c r="V18" s="15">
        <v>35</v>
      </c>
      <c r="W18" s="41" t="s">
        <v>352</v>
      </c>
      <c r="X18" s="4" t="s">
        <v>14</v>
      </c>
      <c r="Y18" s="11">
        <v>208.8</v>
      </c>
      <c r="Z18" s="11">
        <v>164.4</v>
      </c>
      <c r="AA18" s="10">
        <v>202.4</v>
      </c>
      <c r="AB18" s="10">
        <f>AVERAGE(Table3[[#This Row],[23 Pts]:[25 Proj]])</f>
        <v>191.86666666666667</v>
      </c>
      <c r="AC18" s="20">
        <f>Table3[[#This Row],[Avg]]/17</f>
        <v>11.286274509803922</v>
      </c>
      <c r="AF18" s="15">
        <v>15</v>
      </c>
      <c r="AG18" s="5" t="s">
        <v>237</v>
      </c>
      <c r="AH18" s="4" t="s">
        <v>83</v>
      </c>
      <c r="AI18" s="11">
        <v>119.9</v>
      </c>
      <c r="AJ18" s="11">
        <v>145.4</v>
      </c>
      <c r="AK18" s="10">
        <v>132.4</v>
      </c>
      <c r="AL18" s="10">
        <f>AVERAGE(Table4[[#This Row],[23 Pts]:[25 Proj]])</f>
        <v>132.56666666666669</v>
      </c>
      <c r="AM18" s="20">
        <f>Table4[[#This Row],[Avg]]/17</f>
        <v>7.7980392156862761</v>
      </c>
      <c r="AP18" s="5">
        <v>16</v>
      </c>
      <c r="AQ18" s="5" t="s">
        <v>285</v>
      </c>
      <c r="AR18" s="4" t="s">
        <v>55</v>
      </c>
      <c r="AS18" s="6">
        <v>120</v>
      </c>
      <c r="AT18" s="6">
        <v>103</v>
      </c>
      <c r="AU18" s="6">
        <v>115</v>
      </c>
      <c r="AV18" s="11">
        <f>AVERAGE(Table6[[#This Row],[23 Pts]:[25 Proj]])</f>
        <v>112.66666666666667</v>
      </c>
      <c r="AW18" s="20">
        <f>Table6[[#This Row],[Avg]]/17</f>
        <v>6.6274509803921573</v>
      </c>
    </row>
    <row r="19" spans="2:49" x14ac:dyDescent="0.35">
      <c r="B19" s="8">
        <v>16</v>
      </c>
      <c r="C19" s="8" t="s">
        <v>47</v>
      </c>
      <c r="D19" s="9" t="s">
        <v>48</v>
      </c>
      <c r="E19" s="10">
        <v>281.02</v>
      </c>
      <c r="F19" s="10">
        <v>232.38</v>
      </c>
      <c r="G19" s="10">
        <v>280.69</v>
      </c>
      <c r="H19" s="10">
        <f>AVERAGE(Table1[[#This Row],[23 Pts]:[25 Proj]])</f>
        <v>264.69666666666666</v>
      </c>
      <c r="I19" s="20">
        <f>Table1[[#This Row],[Avg]]/17</f>
        <v>15.570392156862745</v>
      </c>
      <c r="J19" s="8"/>
      <c r="L19" s="15">
        <v>33</v>
      </c>
      <c r="M19" s="42" t="s">
        <v>183</v>
      </c>
      <c r="N19" s="4" t="s">
        <v>52</v>
      </c>
      <c r="O19" s="11" t="s">
        <v>60</v>
      </c>
      <c r="P19" s="11" t="s">
        <v>60</v>
      </c>
      <c r="Q19" s="10">
        <v>167.2</v>
      </c>
      <c r="R19" s="26">
        <f>AVERAGE(Table2[[#This Row],[23 Pts]:[25 Proj]])</f>
        <v>167.2</v>
      </c>
      <c r="S19" s="20">
        <f>Table2[[#This Row],[Avg]]/17</f>
        <v>9.8352941176470576</v>
      </c>
      <c r="V19" s="15">
        <v>38</v>
      </c>
      <c r="W19" s="41" t="s">
        <v>356</v>
      </c>
      <c r="X19" s="4" t="s">
        <v>21</v>
      </c>
      <c r="Y19" s="11">
        <v>198.6</v>
      </c>
      <c r="Z19" s="11">
        <v>149.6</v>
      </c>
      <c r="AA19" s="10">
        <v>198.3</v>
      </c>
      <c r="AB19" s="10">
        <f>AVERAGE(Table3[[#This Row],[23 Pts]:[25 Proj]])</f>
        <v>182.16666666666666</v>
      </c>
      <c r="AC19" s="20">
        <f>Table3[[#This Row],[Avg]]/17</f>
        <v>10.715686274509803</v>
      </c>
      <c r="AF19" s="15">
        <v>16</v>
      </c>
      <c r="AG19" s="5" t="s">
        <v>236</v>
      </c>
      <c r="AH19" s="4" t="s">
        <v>9</v>
      </c>
      <c r="AI19" s="11">
        <v>150.30000000000001</v>
      </c>
      <c r="AJ19" s="11">
        <v>100.8</v>
      </c>
      <c r="AK19" s="10">
        <v>132.5</v>
      </c>
      <c r="AL19" s="10">
        <f>AVERAGE(Table4[[#This Row],[23 Pts]:[25 Proj]])</f>
        <v>127.86666666666667</v>
      </c>
      <c r="AM19" s="20">
        <f>Table4[[#This Row],[Avg]]/17</f>
        <v>7.5215686274509812</v>
      </c>
      <c r="AP19" s="5">
        <v>17</v>
      </c>
      <c r="AQ19" s="5" t="s">
        <v>290</v>
      </c>
      <c r="AR19" s="4" t="s">
        <v>79</v>
      </c>
      <c r="AS19" s="6">
        <v>112</v>
      </c>
      <c r="AT19" s="6">
        <v>96</v>
      </c>
      <c r="AU19" s="6">
        <v>128</v>
      </c>
      <c r="AV19" s="11">
        <f>AVERAGE(Table6[[#This Row],[23 Pts]:[25 Proj]])</f>
        <v>112</v>
      </c>
      <c r="AW19" s="20">
        <f>Table6[[#This Row],[Avg]]/17</f>
        <v>6.5882352941176467</v>
      </c>
    </row>
    <row r="20" spans="2:49" x14ac:dyDescent="0.35">
      <c r="B20" s="8">
        <v>17</v>
      </c>
      <c r="C20" s="8" t="s">
        <v>116</v>
      </c>
      <c r="D20" s="9" t="s">
        <v>52</v>
      </c>
      <c r="E20" s="10" t="s">
        <v>60</v>
      </c>
      <c r="F20" s="10">
        <v>267.58</v>
      </c>
      <c r="G20" s="10">
        <v>246.68</v>
      </c>
      <c r="H20" s="10">
        <f>AVERAGE(Table1[[#This Row],[23 Pts]:[25 Proj]])</f>
        <v>257.13</v>
      </c>
      <c r="I20" s="20">
        <f>Table1[[#This Row],[Avg]]/17</f>
        <v>15.125294117647059</v>
      </c>
      <c r="J20" s="8"/>
      <c r="L20" s="15">
        <v>42</v>
      </c>
      <c r="M20" s="42" t="s">
        <v>185</v>
      </c>
      <c r="N20" s="4" t="s">
        <v>87</v>
      </c>
      <c r="O20" s="11" t="s">
        <v>60</v>
      </c>
      <c r="P20" s="11" t="s">
        <v>60</v>
      </c>
      <c r="Q20" s="10">
        <v>136.30000000000001</v>
      </c>
      <c r="R20" s="26">
        <f>AVERAGE(Table2[[#This Row],[23 Pts]:[25 Proj]])</f>
        <v>136.30000000000001</v>
      </c>
      <c r="S20" s="20">
        <f>Table2[[#This Row],[Avg]]/17</f>
        <v>8.0176470588235293</v>
      </c>
      <c r="V20" s="15">
        <v>42</v>
      </c>
      <c r="W20" s="41" t="s">
        <v>375</v>
      </c>
      <c r="X20" s="4" t="s">
        <v>73</v>
      </c>
      <c r="Y20" s="11">
        <v>157.1</v>
      </c>
      <c r="Z20" s="11">
        <v>183.5</v>
      </c>
      <c r="AA20" s="10">
        <v>169.6</v>
      </c>
      <c r="AB20" s="10">
        <f>AVERAGE(Table3[[#This Row],[23 Pts]:[25 Proj]])</f>
        <v>170.06666666666669</v>
      </c>
      <c r="AC20" s="20">
        <f>Table3[[#This Row],[Avg]]/17</f>
        <v>10.003921568627453</v>
      </c>
      <c r="AF20" s="15">
        <v>17</v>
      </c>
      <c r="AG20" s="5" t="s">
        <v>234</v>
      </c>
      <c r="AH20" s="4" t="s">
        <v>18</v>
      </c>
      <c r="AI20" s="11">
        <v>136.30000000000001</v>
      </c>
      <c r="AJ20" s="11">
        <v>103.6</v>
      </c>
      <c r="AK20" s="10">
        <v>143.30000000000001</v>
      </c>
      <c r="AL20" s="10">
        <f>AVERAGE(Table4[[#This Row],[23 Pts]:[25 Proj]])</f>
        <v>127.73333333333335</v>
      </c>
      <c r="AM20" s="20">
        <f>Table4[[#This Row],[Avg]]/17</f>
        <v>7.5137254901960793</v>
      </c>
      <c r="AP20" s="5">
        <v>18</v>
      </c>
      <c r="AQ20" s="5" t="s">
        <v>283</v>
      </c>
      <c r="AR20" s="4" t="s">
        <v>12</v>
      </c>
      <c r="AS20" s="6">
        <v>141</v>
      </c>
      <c r="AT20" s="6">
        <v>109</v>
      </c>
      <c r="AU20" s="6">
        <v>84</v>
      </c>
      <c r="AV20" s="11">
        <f>AVERAGE(Table6[[#This Row],[23 Pts]:[25 Proj]])</f>
        <v>111.33333333333333</v>
      </c>
      <c r="AW20" s="20">
        <f>Table6[[#This Row],[Avg]]/17</f>
        <v>6.5490196078431371</v>
      </c>
    </row>
    <row r="21" spans="2:49" x14ac:dyDescent="0.35">
      <c r="B21" s="8">
        <v>18</v>
      </c>
      <c r="C21" s="8" t="s">
        <v>84</v>
      </c>
      <c r="D21" s="9" t="s">
        <v>65</v>
      </c>
      <c r="E21" s="10">
        <v>236.26</v>
      </c>
      <c r="F21" s="10">
        <v>281</v>
      </c>
      <c r="G21" s="10">
        <v>249.01</v>
      </c>
      <c r="H21" s="10">
        <f>AVERAGE(Table1[[#This Row],[23 Pts]:[25 Proj]])</f>
        <v>255.42333333333332</v>
      </c>
      <c r="I21" s="20">
        <f>Table1[[#This Row],[Avg]]/17</f>
        <v>15.024901960784312</v>
      </c>
      <c r="J21" s="8"/>
      <c r="L21" s="17">
        <v>50</v>
      </c>
      <c r="M21" s="42" t="s">
        <v>186</v>
      </c>
      <c r="N21" s="4" t="s">
        <v>14</v>
      </c>
      <c r="O21" s="11" t="s">
        <v>60</v>
      </c>
      <c r="P21" s="11" t="s">
        <v>60</v>
      </c>
      <c r="Q21" s="10">
        <v>110.1</v>
      </c>
      <c r="R21" s="26">
        <f>AVERAGE(Table2[[#This Row],[23 Pts]:[25 Proj]])</f>
        <v>110.1</v>
      </c>
      <c r="S21" s="20">
        <f>Table2[[#This Row],[Avg]]/17</f>
        <v>6.4764705882352942</v>
      </c>
      <c r="V21" s="15">
        <v>48</v>
      </c>
      <c r="W21" s="41" t="s">
        <v>354</v>
      </c>
      <c r="X21" s="4" t="s">
        <v>22</v>
      </c>
      <c r="Y21" s="11">
        <v>212.5</v>
      </c>
      <c r="Z21" s="11">
        <v>64.900000000000006</v>
      </c>
      <c r="AA21" s="10">
        <v>200.1</v>
      </c>
      <c r="AB21" s="10">
        <f>AVERAGE(Table3[[#This Row],[23 Pts]:[25 Proj]])</f>
        <v>159.16666666666666</v>
      </c>
      <c r="AC21" s="20">
        <f>Table3[[#This Row],[Avg]]/17</f>
        <v>9.3627450980392144</v>
      </c>
      <c r="AF21" s="15">
        <v>18</v>
      </c>
      <c r="AG21" s="5" t="s">
        <v>235</v>
      </c>
      <c r="AH21" s="4" t="s">
        <v>40</v>
      </c>
      <c r="AI21" s="11">
        <v>78.5</v>
      </c>
      <c r="AJ21" s="11">
        <v>163.30000000000001</v>
      </c>
      <c r="AK21" s="10">
        <v>137.6</v>
      </c>
      <c r="AL21" s="10">
        <f>AVERAGE(Table4[[#This Row],[23 Pts]:[25 Proj]])</f>
        <v>126.46666666666665</v>
      </c>
      <c r="AM21" s="20">
        <f>Table4[[#This Row],[Avg]]/17</f>
        <v>7.4392156862745091</v>
      </c>
      <c r="AP21" s="5">
        <v>19</v>
      </c>
      <c r="AQ21" s="5" t="s">
        <v>294</v>
      </c>
      <c r="AR21" s="4" t="s">
        <v>34</v>
      </c>
      <c r="AS21" s="6">
        <v>157</v>
      </c>
      <c r="AT21" s="6">
        <v>92</v>
      </c>
      <c r="AU21" s="6">
        <v>81</v>
      </c>
      <c r="AV21" s="11">
        <f>AVERAGE(Table6[[#This Row],[23 Pts]:[25 Proj]])</f>
        <v>110</v>
      </c>
      <c r="AW21" s="20">
        <f>Table6[[#This Row],[Avg]]/17</f>
        <v>6.4705882352941178</v>
      </c>
    </row>
    <row r="22" spans="2:49" x14ac:dyDescent="0.35">
      <c r="B22" s="8">
        <v>20</v>
      </c>
      <c r="C22" s="8" t="s">
        <v>96</v>
      </c>
      <c r="D22" s="9" t="s">
        <v>46</v>
      </c>
      <c r="E22" s="10">
        <v>151.36000000000001</v>
      </c>
      <c r="F22" s="10">
        <v>308.24</v>
      </c>
      <c r="G22" s="10">
        <v>293.41000000000003</v>
      </c>
      <c r="H22" s="10">
        <f>AVERAGE(Table1[[#This Row],[23 Pts]:[25 Proj]])</f>
        <v>251.00333333333333</v>
      </c>
      <c r="I22" s="20">
        <f>Table1[[#This Row],[Avg]]/17</f>
        <v>14.764901960784314</v>
      </c>
      <c r="J22" s="8"/>
      <c r="L22" s="17">
        <v>62</v>
      </c>
      <c r="M22" s="42" t="s">
        <v>193</v>
      </c>
      <c r="N22" s="4" t="s">
        <v>34</v>
      </c>
      <c r="O22" s="11" t="s">
        <v>60</v>
      </c>
      <c r="P22" s="11" t="s">
        <v>60</v>
      </c>
      <c r="Q22" s="10">
        <v>78.2</v>
      </c>
      <c r="R22" s="26">
        <f>AVERAGE(Table2[[#This Row],[23 Pts]:[25 Proj]])</f>
        <v>78.2</v>
      </c>
      <c r="S22" s="20">
        <f>Table2[[#This Row],[Avg]]/17</f>
        <v>4.6000000000000005</v>
      </c>
      <c r="V22" s="15">
        <v>27</v>
      </c>
      <c r="W22" s="42" t="s">
        <v>353</v>
      </c>
      <c r="X22" s="4" t="s">
        <v>104</v>
      </c>
      <c r="Y22" s="11" t="s">
        <v>60</v>
      </c>
      <c r="Z22" s="11" t="s">
        <v>60</v>
      </c>
      <c r="AA22" s="10">
        <v>201</v>
      </c>
      <c r="AB22" s="10">
        <f>AVERAGE(Table3[[#This Row],[23 Pts]:[25 Proj]])</f>
        <v>201</v>
      </c>
      <c r="AC22" s="20">
        <f>Table3[[#This Row],[Avg]]/17</f>
        <v>11.823529411764707</v>
      </c>
      <c r="AF22" s="15">
        <v>19</v>
      </c>
      <c r="AG22" s="5" t="s">
        <v>255</v>
      </c>
      <c r="AH22" s="4" t="s">
        <v>55</v>
      </c>
      <c r="AI22" s="11">
        <v>181.1</v>
      </c>
      <c r="AJ22" s="11">
        <v>120.4</v>
      </c>
      <c r="AK22" s="10">
        <v>75</v>
      </c>
      <c r="AL22" s="10">
        <f>AVERAGE(Table4[[#This Row],[23 Pts]:[25 Proj]])</f>
        <v>125.5</v>
      </c>
      <c r="AM22" s="20">
        <f>Table4[[#This Row],[Avg]]/17</f>
        <v>7.382352941176471</v>
      </c>
      <c r="AP22" s="5">
        <v>20</v>
      </c>
      <c r="AQ22" s="5" t="s">
        <v>293</v>
      </c>
      <c r="AR22" s="4" t="s">
        <v>73</v>
      </c>
      <c r="AS22" s="6">
        <v>133</v>
      </c>
      <c r="AT22" s="6">
        <v>92</v>
      </c>
      <c r="AU22" s="6">
        <v>91</v>
      </c>
      <c r="AV22" s="11">
        <f>AVERAGE(Table6[[#This Row],[23 Pts]:[25 Proj]])</f>
        <v>105.33333333333333</v>
      </c>
      <c r="AW22" s="20">
        <f>Table6[[#This Row],[Avg]]/17</f>
        <v>6.1960784313725483</v>
      </c>
    </row>
    <row r="23" spans="2:49" x14ac:dyDescent="0.35">
      <c r="B23" s="8">
        <v>21</v>
      </c>
      <c r="C23" s="8" t="s">
        <v>160</v>
      </c>
      <c r="D23" s="9" t="s">
        <v>81</v>
      </c>
      <c r="E23" s="10" t="s">
        <v>60</v>
      </c>
      <c r="F23" s="10" t="s">
        <v>60</v>
      </c>
      <c r="G23" s="10">
        <v>250.59</v>
      </c>
      <c r="H23" s="10">
        <f>AVERAGE(Table1[[#This Row],[23 Pts]:[25 Proj]])</f>
        <v>250.59</v>
      </c>
      <c r="I23" s="20">
        <f>Table1[[#This Row],[Avg]]/17</f>
        <v>14.740588235294117</v>
      </c>
      <c r="J23" s="8"/>
      <c r="L23" s="15">
        <v>66</v>
      </c>
      <c r="M23" s="42" t="s">
        <v>196</v>
      </c>
      <c r="N23" s="4" t="s">
        <v>62</v>
      </c>
      <c r="O23" s="11" t="s">
        <v>60</v>
      </c>
      <c r="P23" s="11" t="s">
        <v>60</v>
      </c>
      <c r="Q23" s="10">
        <v>69.599999999999994</v>
      </c>
      <c r="R23" s="26">
        <f>AVERAGE(Table2[[#This Row],[23 Pts]:[25 Proj]])</f>
        <v>69.599999999999994</v>
      </c>
      <c r="S23" s="20">
        <f>Table2[[#This Row],[Avg]]/17</f>
        <v>4.0941176470588232</v>
      </c>
      <c r="V23" s="15">
        <v>30</v>
      </c>
      <c r="W23" s="42" t="s">
        <v>357</v>
      </c>
      <c r="X23" s="4" t="s">
        <v>27</v>
      </c>
      <c r="Y23" s="11" t="s">
        <v>60</v>
      </c>
      <c r="Z23" s="11" t="s">
        <v>60</v>
      </c>
      <c r="AA23" s="10">
        <v>195.7</v>
      </c>
      <c r="AB23" s="10">
        <f>AVERAGE(Table3[[#This Row],[23 Pts]:[25 Proj]])</f>
        <v>195.7</v>
      </c>
      <c r="AC23" s="20">
        <f>Table3[[#This Row],[Avg]]/17</f>
        <v>11.511764705882353</v>
      </c>
      <c r="AF23" s="15">
        <v>20</v>
      </c>
      <c r="AG23" s="5" t="s">
        <v>247</v>
      </c>
      <c r="AH23" s="4" t="s">
        <v>48</v>
      </c>
      <c r="AI23" s="11">
        <v>150.5</v>
      </c>
      <c r="AJ23" s="11">
        <v>118.2</v>
      </c>
      <c r="AK23" s="10">
        <v>107.7</v>
      </c>
      <c r="AL23" s="10">
        <f>AVERAGE(Table4[[#This Row],[23 Pts]:[25 Proj]])</f>
        <v>125.46666666666665</v>
      </c>
      <c r="AM23" s="20">
        <f>Table4[[#This Row],[Avg]]/17</f>
        <v>7.3803921568627446</v>
      </c>
      <c r="AP23" s="5">
        <v>21</v>
      </c>
      <c r="AQ23" s="5" t="s">
        <v>297</v>
      </c>
      <c r="AR23" s="4" t="s">
        <v>62</v>
      </c>
      <c r="AS23" s="6">
        <v>141</v>
      </c>
      <c r="AT23" s="6">
        <v>83</v>
      </c>
      <c r="AU23" s="6">
        <v>92</v>
      </c>
      <c r="AV23" s="11">
        <f>AVERAGE(Table6[[#This Row],[23 Pts]:[25 Proj]])</f>
        <v>105.33333333333333</v>
      </c>
      <c r="AW23" s="20">
        <f>Table6[[#This Row],[Avg]]/17</f>
        <v>6.1960784313725483</v>
      </c>
    </row>
    <row r="24" spans="2:49" x14ac:dyDescent="0.35">
      <c r="B24" s="8">
        <v>22</v>
      </c>
      <c r="C24" s="8" t="s">
        <v>68</v>
      </c>
      <c r="D24" s="9" t="s">
        <v>21</v>
      </c>
      <c r="E24" s="10">
        <v>284.36</v>
      </c>
      <c r="F24" s="10">
        <v>188.58</v>
      </c>
      <c r="G24" s="10">
        <v>250.53</v>
      </c>
      <c r="H24" s="10">
        <f>AVERAGE(Table1[[#This Row],[23 Pts]:[25 Proj]])</f>
        <v>241.15666666666667</v>
      </c>
      <c r="I24" s="20">
        <f>Table1[[#This Row],[Avg]]/17</f>
        <v>14.185686274509804</v>
      </c>
      <c r="J24" s="8"/>
      <c r="L24" s="15">
        <v>40</v>
      </c>
      <c r="M24" s="43" t="s">
        <v>122</v>
      </c>
      <c r="N24" s="4" t="s">
        <v>85</v>
      </c>
      <c r="O24" s="11">
        <v>106.1</v>
      </c>
      <c r="P24" s="11">
        <v>186.9</v>
      </c>
      <c r="Q24" s="10">
        <v>129.9</v>
      </c>
      <c r="R24" s="26">
        <f>AVERAGE(Table2[[#This Row],[23 Pts]:[25 Proj]])</f>
        <v>140.96666666666667</v>
      </c>
      <c r="S24" s="20">
        <f>Table2[[#This Row],[Avg]]/17</f>
        <v>8.2921568627450988</v>
      </c>
      <c r="V24" s="15">
        <v>40</v>
      </c>
      <c r="W24" s="42" t="s">
        <v>372</v>
      </c>
      <c r="X24" s="4" t="s">
        <v>40</v>
      </c>
      <c r="Y24" s="11" t="s">
        <v>60</v>
      </c>
      <c r="Z24" s="11" t="s">
        <v>60</v>
      </c>
      <c r="AA24" s="10">
        <v>171.6</v>
      </c>
      <c r="AB24" s="10">
        <f>AVERAGE(Table3[[#This Row],[23 Pts]:[25 Proj]])</f>
        <v>171.6</v>
      </c>
      <c r="AC24" s="20">
        <f>Table3[[#This Row],[Avg]]/17</f>
        <v>10.094117647058823</v>
      </c>
      <c r="AF24" s="15">
        <v>21</v>
      </c>
      <c r="AG24" s="5" t="s">
        <v>242</v>
      </c>
      <c r="AH24" s="4" t="s">
        <v>42</v>
      </c>
      <c r="AI24" s="11">
        <v>116.5</v>
      </c>
      <c r="AJ24" s="11">
        <v>140.6</v>
      </c>
      <c r="AK24" s="10">
        <v>110.2</v>
      </c>
      <c r="AL24" s="10">
        <f>AVERAGE(Table4[[#This Row],[23 Pts]:[25 Proj]])</f>
        <v>122.43333333333334</v>
      </c>
      <c r="AM24" s="20">
        <f>Table4[[#This Row],[Avg]]/17</f>
        <v>7.2019607843137257</v>
      </c>
      <c r="AP24" s="5">
        <v>22</v>
      </c>
      <c r="AQ24" s="5" t="s">
        <v>281</v>
      </c>
      <c r="AR24" s="4" t="s">
        <v>38</v>
      </c>
      <c r="AS24" s="6">
        <v>83</v>
      </c>
      <c r="AT24" s="6">
        <v>114</v>
      </c>
      <c r="AU24" s="6">
        <v>118</v>
      </c>
      <c r="AV24" s="11">
        <f>AVERAGE(Table6[[#This Row],[23 Pts]:[25 Proj]])</f>
        <v>105</v>
      </c>
      <c r="AW24" s="20">
        <f>Table6[[#This Row],[Avg]]/17</f>
        <v>6.1764705882352944</v>
      </c>
    </row>
    <row r="25" spans="2:49" x14ac:dyDescent="0.35">
      <c r="B25" s="8">
        <v>23</v>
      </c>
      <c r="C25" s="8" t="s">
        <v>74</v>
      </c>
      <c r="D25" s="9" t="s">
        <v>38</v>
      </c>
      <c r="E25" s="10">
        <v>254.1</v>
      </c>
      <c r="F25" s="10">
        <v>222.58</v>
      </c>
      <c r="G25" s="10">
        <v>245.66</v>
      </c>
      <c r="H25" s="10">
        <f>AVERAGE(Table1[[#This Row],[23 Pts]:[25 Proj]])</f>
        <v>240.78</v>
      </c>
      <c r="I25" s="20">
        <f>Table1[[#This Row],[Avg]]/17</f>
        <v>14.163529411764706</v>
      </c>
      <c r="J25" s="8"/>
      <c r="L25" s="17">
        <v>44</v>
      </c>
      <c r="M25" s="43" t="s">
        <v>130</v>
      </c>
      <c r="N25" s="4" t="s">
        <v>104</v>
      </c>
      <c r="O25" s="11">
        <v>91.5</v>
      </c>
      <c r="P25" s="11">
        <v>197.8</v>
      </c>
      <c r="Q25" s="10">
        <v>88.1</v>
      </c>
      <c r="R25" s="26">
        <f>AVERAGE(Table2[[#This Row],[23 Pts]:[25 Proj]])</f>
        <v>125.8</v>
      </c>
      <c r="S25" s="20">
        <f>Table2[[#This Row],[Avg]]/17</f>
        <v>7.3999999999999995</v>
      </c>
      <c r="V25" s="15">
        <v>43</v>
      </c>
      <c r="W25" s="42" t="s">
        <v>374</v>
      </c>
      <c r="X25" s="4" t="s">
        <v>48</v>
      </c>
      <c r="Y25" s="11" t="s">
        <v>60</v>
      </c>
      <c r="Z25" s="11" t="s">
        <v>60</v>
      </c>
      <c r="AA25" s="10">
        <v>169.7</v>
      </c>
      <c r="AB25" s="10">
        <f>AVERAGE(Table3[[#This Row],[23 Pts]:[25 Proj]])</f>
        <v>169.7</v>
      </c>
      <c r="AC25" s="20">
        <f>Table3[[#This Row],[Avg]]/17</f>
        <v>9.9823529411764707</v>
      </c>
      <c r="AF25" s="15">
        <v>22</v>
      </c>
      <c r="AG25" s="5" t="s">
        <v>239</v>
      </c>
      <c r="AH25" s="4" t="s">
        <v>59</v>
      </c>
      <c r="AI25" s="11">
        <v>51.7</v>
      </c>
      <c r="AJ25" s="11">
        <v>177.4</v>
      </c>
      <c r="AK25" s="10">
        <v>123.9</v>
      </c>
      <c r="AL25" s="10">
        <f>AVERAGE(Table4[[#This Row],[23 Pts]:[25 Proj]])</f>
        <v>117.66666666666667</v>
      </c>
      <c r="AM25" s="20">
        <f>Table4[[#This Row],[Avg]]/17</f>
        <v>6.9215686274509807</v>
      </c>
      <c r="AP25" s="5">
        <v>23</v>
      </c>
      <c r="AQ25" s="5" t="s">
        <v>291</v>
      </c>
      <c r="AR25" s="4" t="s">
        <v>87</v>
      </c>
      <c r="AS25" s="6">
        <v>131</v>
      </c>
      <c r="AT25" s="6">
        <v>93</v>
      </c>
      <c r="AU25" s="6">
        <v>85</v>
      </c>
      <c r="AV25" s="11">
        <f>AVERAGE(Table6[[#This Row],[23 Pts]:[25 Proj]])</f>
        <v>103</v>
      </c>
      <c r="AW25" s="20">
        <f>Table6[[#This Row],[Avg]]/17</f>
        <v>6.0588235294117645</v>
      </c>
    </row>
    <row r="26" spans="2:49" x14ac:dyDescent="0.35">
      <c r="B26" s="8">
        <v>24</v>
      </c>
      <c r="C26" s="8" t="s">
        <v>66</v>
      </c>
      <c r="D26" s="9" t="s">
        <v>27</v>
      </c>
      <c r="E26" s="10">
        <v>276.54000000000002</v>
      </c>
      <c r="F26" s="10">
        <v>152.19999999999999</v>
      </c>
      <c r="G26" s="10">
        <v>283.43</v>
      </c>
      <c r="H26" s="10">
        <f>AVERAGE(Table1[[#This Row],[23 Pts]:[25 Proj]])</f>
        <v>237.39000000000001</v>
      </c>
      <c r="I26" s="20">
        <f>Table1[[#This Row],[Avg]]/17</f>
        <v>13.964117647058824</v>
      </c>
      <c r="J26" s="8"/>
      <c r="L26" s="17">
        <v>47</v>
      </c>
      <c r="M26" s="43" t="s">
        <v>188</v>
      </c>
      <c r="N26" s="4" t="s">
        <v>9</v>
      </c>
      <c r="O26" s="11" t="s">
        <v>60</v>
      </c>
      <c r="P26" s="11">
        <v>116.1</v>
      </c>
      <c r="Q26" s="10">
        <v>108.6</v>
      </c>
      <c r="R26" s="26">
        <f>AVERAGE(Table2[[#This Row],[23 Pts]:[25 Proj]])</f>
        <v>112.35</v>
      </c>
      <c r="S26" s="20">
        <f>Table2[[#This Row],[Avg]]/17</f>
        <v>6.6088235294117643</v>
      </c>
      <c r="V26" s="15">
        <v>52</v>
      </c>
      <c r="W26" s="42" t="s">
        <v>379</v>
      </c>
      <c r="X26" s="4" t="s">
        <v>42</v>
      </c>
      <c r="Y26" s="11" t="s">
        <v>60</v>
      </c>
      <c r="Z26" s="11" t="s">
        <v>60</v>
      </c>
      <c r="AA26" s="10">
        <v>155.69999999999999</v>
      </c>
      <c r="AB26" s="10">
        <f>AVERAGE(Table3[[#This Row],[23 Pts]:[25 Proj]])</f>
        <v>155.69999999999999</v>
      </c>
      <c r="AC26" s="20">
        <f>Table3[[#This Row],[Avg]]/17</f>
        <v>9.1588235294117641</v>
      </c>
      <c r="AF26" s="15">
        <v>23</v>
      </c>
      <c r="AG26" s="5" t="s">
        <v>241</v>
      </c>
      <c r="AH26" s="4" t="s">
        <v>20</v>
      </c>
      <c r="AI26" s="11" t="s">
        <v>60</v>
      </c>
      <c r="AJ26" s="11" t="s">
        <v>60</v>
      </c>
      <c r="AK26" s="10">
        <v>112.6</v>
      </c>
      <c r="AL26" s="10">
        <f>AVERAGE(Table4[[#This Row],[23 Pts]:[25 Proj]])</f>
        <v>112.6</v>
      </c>
      <c r="AM26" s="20">
        <f>Table4[[#This Row],[Avg]]/17</f>
        <v>6.6235294117647054</v>
      </c>
      <c r="AP26" s="5">
        <v>24</v>
      </c>
      <c r="AQ26" s="5" t="s">
        <v>295</v>
      </c>
      <c r="AR26" s="4" t="s">
        <v>44</v>
      </c>
      <c r="AS26" s="6">
        <v>118</v>
      </c>
      <c r="AT26" s="6">
        <v>92</v>
      </c>
      <c r="AU26" s="6">
        <v>98</v>
      </c>
      <c r="AV26" s="11">
        <f>AVERAGE(Table6[[#This Row],[23 Pts]:[25 Proj]])</f>
        <v>102.66666666666667</v>
      </c>
      <c r="AW26" s="20">
        <f>Table6[[#This Row],[Avg]]/17</f>
        <v>6.0392156862745097</v>
      </c>
    </row>
    <row r="27" spans="2:49" x14ac:dyDescent="0.35">
      <c r="B27" s="8">
        <v>25</v>
      </c>
      <c r="C27" s="8" t="s">
        <v>88</v>
      </c>
      <c r="D27" s="9" t="s">
        <v>83</v>
      </c>
      <c r="E27" s="10" t="s">
        <v>60</v>
      </c>
      <c r="F27" s="10">
        <v>187.14</v>
      </c>
      <c r="G27" s="10">
        <v>282.92</v>
      </c>
      <c r="H27" s="10">
        <f>AVERAGE(Table1[[#This Row],[23 Pts]:[25 Proj]])</f>
        <v>235.03</v>
      </c>
      <c r="I27" s="20">
        <f>Table1[[#This Row],[Avg]]/17</f>
        <v>13.82529411764706</v>
      </c>
      <c r="J27" s="8"/>
      <c r="L27" s="15">
        <v>55</v>
      </c>
      <c r="M27" s="43" t="s">
        <v>137</v>
      </c>
      <c r="N27" s="4" t="s">
        <v>51</v>
      </c>
      <c r="O27" s="11">
        <v>44.7</v>
      </c>
      <c r="P27" s="11">
        <v>115</v>
      </c>
      <c r="Q27" s="10">
        <v>138.6</v>
      </c>
      <c r="R27" s="26">
        <f>AVERAGE(Table2[[#This Row],[23 Pts]:[25 Proj]])</f>
        <v>99.433333333333323</v>
      </c>
      <c r="S27" s="20">
        <f>Table2[[#This Row],[Avg]]/17</f>
        <v>5.8490196078431369</v>
      </c>
      <c r="V27" s="15">
        <v>53</v>
      </c>
      <c r="W27" s="42" t="s">
        <v>380</v>
      </c>
      <c r="X27" s="4" t="s">
        <v>79</v>
      </c>
      <c r="Y27" s="11" t="s">
        <v>60</v>
      </c>
      <c r="Z27" s="11" t="s">
        <v>60</v>
      </c>
      <c r="AA27" s="10">
        <v>154.5</v>
      </c>
      <c r="AB27" s="10">
        <f>AVERAGE(Table3[[#This Row],[23 Pts]:[25 Proj]])</f>
        <v>154.5</v>
      </c>
      <c r="AC27" s="20">
        <f>Table3[[#This Row],[Avg]]/17</f>
        <v>9.0882352941176467</v>
      </c>
      <c r="AF27" s="15">
        <v>24</v>
      </c>
      <c r="AG27" s="5" t="s">
        <v>245</v>
      </c>
      <c r="AH27" s="4" t="s">
        <v>81</v>
      </c>
      <c r="AI27" s="11">
        <v>113.4</v>
      </c>
      <c r="AJ27" s="11">
        <v>113.6</v>
      </c>
      <c r="AK27" s="10">
        <v>109.2</v>
      </c>
      <c r="AL27" s="10">
        <f>AVERAGE(Table4[[#This Row],[23 Pts]:[25 Proj]])</f>
        <v>112.06666666666666</v>
      </c>
      <c r="AM27" s="20">
        <f>Table4[[#This Row],[Avg]]/17</f>
        <v>6.5921568627450977</v>
      </c>
      <c r="AP27" s="5">
        <v>25</v>
      </c>
      <c r="AQ27" s="5" t="s">
        <v>299</v>
      </c>
      <c r="AR27" s="4" t="s">
        <v>65</v>
      </c>
      <c r="AS27" s="6">
        <v>146</v>
      </c>
      <c r="AT27" s="6">
        <v>77</v>
      </c>
      <c r="AU27" s="6">
        <v>71</v>
      </c>
      <c r="AV27" s="11">
        <f>AVERAGE(Table6[[#This Row],[23 Pts]:[25 Proj]])</f>
        <v>98</v>
      </c>
      <c r="AW27" s="20">
        <f>Table6[[#This Row],[Avg]]/17</f>
        <v>5.7647058823529411</v>
      </c>
    </row>
    <row r="28" spans="2:49" x14ac:dyDescent="0.35">
      <c r="B28" s="8">
        <v>26</v>
      </c>
      <c r="C28" s="8" t="s">
        <v>111</v>
      </c>
      <c r="D28" s="9" t="s">
        <v>20</v>
      </c>
      <c r="E28" s="10">
        <v>239.18</v>
      </c>
      <c r="F28" s="10">
        <v>120.14</v>
      </c>
      <c r="G28" s="10">
        <v>289.14</v>
      </c>
      <c r="H28" s="10">
        <f>AVERAGE(Table1[[#This Row],[23 Pts]:[25 Proj]])</f>
        <v>216.15333333333334</v>
      </c>
      <c r="I28" s="20">
        <f>Table1[[#This Row],[Avg]]/17</f>
        <v>12.714901960784314</v>
      </c>
      <c r="J28" s="8"/>
      <c r="L28" s="15">
        <v>63</v>
      </c>
      <c r="M28" s="43" t="s">
        <v>198</v>
      </c>
      <c r="N28" s="4" t="s">
        <v>20</v>
      </c>
      <c r="O28" s="11" t="s">
        <v>60</v>
      </c>
      <c r="P28" s="11">
        <v>85.2</v>
      </c>
      <c r="Q28" s="10">
        <v>65.900000000000006</v>
      </c>
      <c r="R28" s="26">
        <f>AVERAGE(Table2[[#This Row],[23 Pts]:[25 Proj]])</f>
        <v>75.550000000000011</v>
      </c>
      <c r="S28" s="20">
        <f>Table2[[#This Row],[Avg]]/17</f>
        <v>4.4441176470588246</v>
      </c>
      <c r="V28" s="15">
        <v>33</v>
      </c>
      <c r="W28" s="43" t="s">
        <v>344</v>
      </c>
      <c r="X28" s="4" t="s">
        <v>44</v>
      </c>
      <c r="Y28" s="11">
        <v>137.6</v>
      </c>
      <c r="Z28" s="11">
        <v>222.1</v>
      </c>
      <c r="AA28" s="10">
        <v>219.7</v>
      </c>
      <c r="AB28" s="10">
        <f>AVERAGE(Table3[[#This Row],[23 Pts]:[25 Proj]])</f>
        <v>193.13333333333333</v>
      </c>
      <c r="AC28" s="20">
        <f>Table3[[#This Row],[Avg]]/17</f>
        <v>11.360784313725489</v>
      </c>
      <c r="AF28" s="15">
        <v>25</v>
      </c>
      <c r="AG28" s="5" t="s">
        <v>248</v>
      </c>
      <c r="AH28" s="4" t="s">
        <v>23</v>
      </c>
      <c r="AI28" s="11">
        <v>101.1</v>
      </c>
      <c r="AJ28" s="11">
        <v>123.7</v>
      </c>
      <c r="AK28" s="10">
        <v>107.2</v>
      </c>
      <c r="AL28" s="10">
        <f>AVERAGE(Table4[[#This Row],[23 Pts]:[25 Proj]])</f>
        <v>110.66666666666667</v>
      </c>
      <c r="AM28" s="20">
        <f>Table4[[#This Row],[Avg]]/17</f>
        <v>6.5098039215686274</v>
      </c>
      <c r="AP28" s="5">
        <v>26</v>
      </c>
      <c r="AQ28" s="5" t="s">
        <v>302</v>
      </c>
      <c r="AR28" s="4" t="s">
        <v>31</v>
      </c>
      <c r="AS28" s="6">
        <v>99</v>
      </c>
      <c r="AT28" s="6">
        <v>80</v>
      </c>
      <c r="AU28" s="6">
        <v>97</v>
      </c>
      <c r="AV28" s="11">
        <f>AVERAGE(Table6[[#This Row],[23 Pts]:[25 Proj]])</f>
        <v>92</v>
      </c>
      <c r="AW28" s="20">
        <f>Table6[[#This Row],[Avg]]/17</f>
        <v>5.4117647058823533</v>
      </c>
    </row>
    <row r="29" spans="2:49" x14ac:dyDescent="0.35">
      <c r="B29" s="8">
        <v>27</v>
      </c>
      <c r="C29" s="8" t="s">
        <v>103</v>
      </c>
      <c r="D29" s="9" t="s">
        <v>104</v>
      </c>
      <c r="E29" s="10">
        <v>166.38</v>
      </c>
      <c r="F29" s="10">
        <v>204.02</v>
      </c>
      <c r="G29" s="10">
        <v>250.3</v>
      </c>
      <c r="H29" s="10">
        <f>AVERAGE(Table1[[#This Row],[23 Pts]:[25 Proj]])</f>
        <v>206.9</v>
      </c>
      <c r="I29" s="20">
        <f>Table1[[#This Row],[Avg]]/17</f>
        <v>12.170588235294119</v>
      </c>
      <c r="J29" s="8"/>
      <c r="L29" s="15">
        <v>64</v>
      </c>
      <c r="M29" s="43" t="s">
        <v>125</v>
      </c>
      <c r="N29" s="4" t="s">
        <v>46</v>
      </c>
      <c r="O29" s="11" t="s">
        <v>60</v>
      </c>
      <c r="P29" s="11">
        <v>47</v>
      </c>
      <c r="Q29" s="10">
        <v>96.5</v>
      </c>
      <c r="R29" s="26">
        <f>AVERAGE(Table2[[#This Row],[23 Pts]:[25 Proj]])</f>
        <v>71.75</v>
      </c>
      <c r="S29" s="20">
        <f>Table2[[#This Row],[Avg]]/17</f>
        <v>4.2205882352941178</v>
      </c>
      <c r="V29" s="15">
        <v>36</v>
      </c>
      <c r="W29" s="43" t="s">
        <v>369</v>
      </c>
      <c r="X29" s="4" t="s">
        <v>83</v>
      </c>
      <c r="Y29" s="11">
        <v>273.8</v>
      </c>
      <c r="Z29" s="11">
        <v>121.92</v>
      </c>
      <c r="AA29" s="10">
        <v>173.7</v>
      </c>
      <c r="AB29" s="10">
        <f>AVERAGE(Table3[[#This Row],[23 Pts]:[25 Proj]])</f>
        <v>189.8066666666667</v>
      </c>
      <c r="AC29" s="20">
        <f>Table3[[#This Row],[Avg]]/17</f>
        <v>11.165098039215689</v>
      </c>
      <c r="AF29" s="15">
        <v>26</v>
      </c>
      <c r="AG29" s="5" t="s">
        <v>252</v>
      </c>
      <c r="AH29" s="4" t="s">
        <v>52</v>
      </c>
      <c r="AI29" s="11">
        <v>76.8</v>
      </c>
      <c r="AJ29" s="11">
        <v>168.3</v>
      </c>
      <c r="AK29" s="10">
        <v>86.3</v>
      </c>
      <c r="AL29" s="10">
        <f>AVERAGE(Table4[[#This Row],[23 Pts]:[25 Proj]])</f>
        <v>110.46666666666668</v>
      </c>
      <c r="AM29" s="20">
        <f>Table4[[#This Row],[Avg]]/17</f>
        <v>6.4980392156862754</v>
      </c>
      <c r="AP29" s="5">
        <v>27</v>
      </c>
      <c r="AQ29" s="5" t="s">
        <v>298</v>
      </c>
      <c r="AR29" s="4" t="s">
        <v>27</v>
      </c>
      <c r="AS29" s="6">
        <v>120</v>
      </c>
      <c r="AT29" s="6">
        <v>81</v>
      </c>
      <c r="AU29" s="6">
        <v>65</v>
      </c>
      <c r="AV29" s="11">
        <f>AVERAGE(Table6[[#This Row],[23 Pts]:[25 Proj]])</f>
        <v>88.666666666666671</v>
      </c>
      <c r="AW29" s="20">
        <f>Table6[[#This Row],[Avg]]/17</f>
        <v>5.215686274509804</v>
      </c>
    </row>
    <row r="30" spans="2:49" x14ac:dyDescent="0.35">
      <c r="B30" s="8">
        <v>28</v>
      </c>
      <c r="C30" s="8" t="s">
        <v>91</v>
      </c>
      <c r="D30" s="9" t="s">
        <v>87</v>
      </c>
      <c r="E30" s="10">
        <v>264.89999999999998</v>
      </c>
      <c r="F30" s="10">
        <v>177.78</v>
      </c>
      <c r="G30" s="10">
        <v>173.02</v>
      </c>
      <c r="H30" s="10">
        <f>AVERAGE(Table1[[#This Row],[23 Pts]:[25 Proj]])</f>
        <v>205.23333333333332</v>
      </c>
      <c r="I30" s="20">
        <f>Table1[[#This Row],[Avg]]/17</f>
        <v>12.072549019607843</v>
      </c>
      <c r="J30" s="8"/>
      <c r="L30" s="17">
        <v>89</v>
      </c>
      <c r="M30" s="43" t="s">
        <v>201</v>
      </c>
      <c r="N30" s="4" t="s">
        <v>42</v>
      </c>
      <c r="O30" s="11">
        <v>5.2</v>
      </c>
      <c r="P30" s="11">
        <v>68.7</v>
      </c>
      <c r="Q30" s="10">
        <v>57.6</v>
      </c>
      <c r="R30" s="26">
        <f>AVERAGE(Table2[[#This Row],[23 Pts]:[25 Proj]])</f>
        <v>43.833333333333336</v>
      </c>
      <c r="S30" s="20">
        <f>Table2[[#This Row],[Avg]]/17</f>
        <v>2.5784313725490198</v>
      </c>
      <c r="V30" s="15">
        <v>58</v>
      </c>
      <c r="W30" s="43" t="s">
        <v>377</v>
      </c>
      <c r="X30" s="4" t="s">
        <v>31</v>
      </c>
      <c r="Y30" s="11">
        <v>78.900000000000006</v>
      </c>
      <c r="Z30" s="11">
        <v>193.2</v>
      </c>
      <c r="AA30" s="10">
        <v>162.80000000000001</v>
      </c>
      <c r="AB30" s="10">
        <f>AVERAGE(Table3[[#This Row],[23 Pts]:[25 Proj]])</f>
        <v>144.96666666666667</v>
      </c>
      <c r="AC30" s="20">
        <f>Table3[[#This Row],[Avg]]/17</f>
        <v>8.5274509803921568</v>
      </c>
      <c r="AF30" s="15">
        <v>27</v>
      </c>
      <c r="AG30" s="5" t="s">
        <v>246</v>
      </c>
      <c r="AH30" s="4" t="s">
        <v>62</v>
      </c>
      <c r="AI30" s="11">
        <v>97.8</v>
      </c>
      <c r="AJ30" s="11">
        <v>122.8</v>
      </c>
      <c r="AK30" s="10">
        <v>108.9</v>
      </c>
      <c r="AL30" s="10">
        <f>AVERAGE(Table4[[#This Row],[23 Pts]:[25 Proj]])</f>
        <v>109.83333333333333</v>
      </c>
      <c r="AM30" s="20">
        <f>Table4[[#This Row],[Avg]]/17</f>
        <v>6.4607843137254903</v>
      </c>
      <c r="AP30" s="5">
        <v>28</v>
      </c>
      <c r="AQ30" s="5" t="s">
        <v>289</v>
      </c>
      <c r="AR30" s="4" t="s">
        <v>46</v>
      </c>
      <c r="AS30" s="6">
        <v>65</v>
      </c>
      <c r="AT30" s="6">
        <v>97</v>
      </c>
      <c r="AU30" s="6">
        <v>94</v>
      </c>
      <c r="AV30" s="11">
        <f>AVERAGE(Table6[[#This Row],[23 Pts]:[25 Proj]])</f>
        <v>85.333333333333329</v>
      </c>
      <c r="AW30" s="20">
        <f>Table6[[#This Row],[Avg]]/17</f>
        <v>5.0196078431372548</v>
      </c>
    </row>
    <row r="31" spans="2:49" x14ac:dyDescent="0.35">
      <c r="B31" s="8">
        <v>29</v>
      </c>
      <c r="C31" s="8" t="s">
        <v>161</v>
      </c>
      <c r="D31" s="9" t="s">
        <v>62</v>
      </c>
      <c r="E31" s="10" t="s">
        <v>60</v>
      </c>
      <c r="F31" s="10" t="s">
        <v>60</v>
      </c>
      <c r="G31" s="10">
        <v>180.02</v>
      </c>
      <c r="H31" s="10">
        <f>AVERAGE(Table1[[#This Row],[23 Pts]:[25 Proj]])</f>
        <v>180.02</v>
      </c>
      <c r="I31" s="20">
        <f>Table1[[#This Row],[Avg]]/17</f>
        <v>10.589411764705883</v>
      </c>
      <c r="J31" s="8"/>
      <c r="L31" s="15">
        <v>4</v>
      </c>
      <c r="M31" s="44" t="s">
        <v>49</v>
      </c>
      <c r="N31" s="4" t="s">
        <v>23</v>
      </c>
      <c r="O31" s="11">
        <v>246.66</v>
      </c>
      <c r="P31" s="11">
        <v>336.4</v>
      </c>
      <c r="Q31" s="10">
        <v>265.5</v>
      </c>
      <c r="R31" s="26">
        <f>AVERAGE(Table2[[#This Row],[23 Pts]:[25 Proj]])</f>
        <v>282.8533333333333</v>
      </c>
      <c r="S31" s="20">
        <f>Table2[[#This Row],[Avg]]/17</f>
        <v>16.638431372549018</v>
      </c>
      <c r="V31" s="15">
        <v>6</v>
      </c>
      <c r="W31" s="44" t="s">
        <v>76</v>
      </c>
      <c r="X31" s="4" t="s">
        <v>51</v>
      </c>
      <c r="Y31" s="11">
        <v>202.2</v>
      </c>
      <c r="Z31" s="11">
        <v>317.48</v>
      </c>
      <c r="AA31" s="10">
        <v>289.39999999999998</v>
      </c>
      <c r="AB31" s="10">
        <f>AVERAGE(Table3[[#This Row],[23 Pts]:[25 Proj]])</f>
        <v>269.69333333333333</v>
      </c>
      <c r="AC31" s="20">
        <f>Table3[[#This Row],[Avg]]/17</f>
        <v>15.864313725490195</v>
      </c>
      <c r="AF31" s="15">
        <v>29</v>
      </c>
      <c r="AG31" s="5" t="s">
        <v>249</v>
      </c>
      <c r="AH31" s="4" t="s">
        <v>85</v>
      </c>
      <c r="AI31" s="11" t="s">
        <v>60</v>
      </c>
      <c r="AJ31" s="11" t="s">
        <v>60</v>
      </c>
      <c r="AK31" s="10">
        <v>105.8</v>
      </c>
      <c r="AL31" s="10">
        <f>AVERAGE(Table4[[#This Row],[23 Pts]:[25 Proj]])</f>
        <v>105.8</v>
      </c>
      <c r="AM31" s="20">
        <f>Table4[[#This Row],[Avg]]/17</f>
        <v>6.223529411764706</v>
      </c>
      <c r="AP31" s="5">
        <v>29</v>
      </c>
      <c r="AQ31" s="5" t="s">
        <v>296</v>
      </c>
      <c r="AR31" s="4" t="s">
        <v>83</v>
      </c>
      <c r="AS31" s="6">
        <v>110</v>
      </c>
      <c r="AT31" s="6">
        <v>83</v>
      </c>
      <c r="AU31" s="6">
        <v>63</v>
      </c>
      <c r="AV31" s="11">
        <f>AVERAGE(Table6[[#This Row],[23 Pts]:[25 Proj]])</f>
        <v>85.333333333333329</v>
      </c>
      <c r="AW31" s="20">
        <f>Table6[[#This Row],[Avg]]/17</f>
        <v>5.0196078431372548</v>
      </c>
    </row>
    <row r="32" spans="2:49" x14ac:dyDescent="0.35">
      <c r="B32" s="8">
        <v>30</v>
      </c>
      <c r="C32" s="8" t="s">
        <v>102</v>
      </c>
      <c r="D32" s="9" t="s">
        <v>73</v>
      </c>
      <c r="E32" s="10">
        <v>73.680000000000007</v>
      </c>
      <c r="F32" s="10">
        <v>175.36</v>
      </c>
      <c r="G32" s="10">
        <v>269.06</v>
      </c>
      <c r="H32" s="10">
        <f>AVERAGE(Table1[[#This Row],[23 Pts]:[25 Proj]])</f>
        <v>172.70000000000002</v>
      </c>
      <c r="I32" s="20">
        <f>Table1[[#This Row],[Avg]]/17</f>
        <v>10.158823529411766</v>
      </c>
      <c r="J32" s="8"/>
      <c r="L32" s="15">
        <v>7</v>
      </c>
      <c r="M32" s="5" t="s">
        <v>75</v>
      </c>
      <c r="N32" s="4" t="s">
        <v>21</v>
      </c>
      <c r="O32" s="11">
        <v>190.7</v>
      </c>
      <c r="P32" s="11">
        <v>299.89999999999998</v>
      </c>
      <c r="Q32" s="10">
        <v>260.60000000000002</v>
      </c>
      <c r="R32" s="26">
        <f>AVERAGE(Table2[[#This Row],[23 Pts]:[25 Proj]])</f>
        <v>250.4</v>
      </c>
      <c r="S32" s="20">
        <f>Table2[[#This Row],[Avg]]/17</f>
        <v>14.729411764705883</v>
      </c>
      <c r="V32" s="15">
        <v>9</v>
      </c>
      <c r="W32" s="5" t="s">
        <v>343</v>
      </c>
      <c r="X32" s="4" t="s">
        <v>42</v>
      </c>
      <c r="Y32" s="11">
        <v>282.5</v>
      </c>
      <c r="Z32" s="11">
        <v>240.4</v>
      </c>
      <c r="AA32" s="10">
        <v>231.3</v>
      </c>
      <c r="AB32" s="10">
        <f>AVERAGE(Table3[[#This Row],[23 Pts]:[25 Proj]])</f>
        <v>251.4</v>
      </c>
      <c r="AC32" s="20">
        <f>Table3[[#This Row],[Avg]]/17</f>
        <v>14.788235294117648</v>
      </c>
      <c r="AF32" s="15">
        <v>30</v>
      </c>
      <c r="AG32" s="5" t="s">
        <v>243</v>
      </c>
      <c r="AH32" s="4" t="s">
        <v>44</v>
      </c>
      <c r="AI32" s="11">
        <v>65.400000000000006</v>
      </c>
      <c r="AJ32" s="11">
        <v>141.5</v>
      </c>
      <c r="AK32" s="10">
        <v>110.1</v>
      </c>
      <c r="AL32" s="10">
        <f>AVERAGE(Table4[[#This Row],[23 Pts]:[25 Proj]])</f>
        <v>105.66666666666667</v>
      </c>
      <c r="AM32" s="20">
        <f>Table4[[#This Row],[Avg]]/17</f>
        <v>6.215686274509804</v>
      </c>
      <c r="AP32" s="5">
        <v>30</v>
      </c>
      <c r="AQ32" s="5" t="s">
        <v>288</v>
      </c>
      <c r="AR32" s="4" t="s">
        <v>59</v>
      </c>
      <c r="AS32" s="6">
        <v>64</v>
      </c>
      <c r="AT32" s="6">
        <v>100</v>
      </c>
      <c r="AU32" s="6">
        <v>90</v>
      </c>
      <c r="AV32" s="11">
        <f>AVERAGE(Table6[[#This Row],[23 Pts]:[25 Proj]])</f>
        <v>84.666666666666671</v>
      </c>
      <c r="AW32" s="20">
        <f>Table6[[#This Row],[Avg]]/17</f>
        <v>4.9803921568627452</v>
      </c>
    </row>
    <row r="33" spans="2:49" x14ac:dyDescent="0.35">
      <c r="B33" s="8">
        <v>31</v>
      </c>
      <c r="C33" s="8" t="s">
        <v>159</v>
      </c>
      <c r="D33" s="9" t="s">
        <v>31</v>
      </c>
      <c r="E33" s="10" t="s">
        <v>60</v>
      </c>
      <c r="F33" s="10">
        <v>47.1</v>
      </c>
      <c r="G33" s="10">
        <v>252.27</v>
      </c>
      <c r="H33" s="10">
        <f>AVERAGE(Table1[[#This Row],[23 Pts]:[25 Proj]])</f>
        <v>149.685</v>
      </c>
      <c r="I33" s="20">
        <f>Table1[[#This Row],[Avg]]/17</f>
        <v>8.8049999999999997</v>
      </c>
      <c r="J33" s="8"/>
      <c r="L33" s="17">
        <v>8</v>
      </c>
      <c r="M33" s="5" t="s">
        <v>19</v>
      </c>
      <c r="N33" s="4" t="s">
        <v>20</v>
      </c>
      <c r="O33" s="11">
        <v>290.5</v>
      </c>
      <c r="P33" s="11">
        <v>240.9</v>
      </c>
      <c r="Q33" s="10">
        <v>219.1</v>
      </c>
      <c r="R33" s="26">
        <f>AVERAGE(Table2[[#This Row],[23 Pts]:[25 Proj]])</f>
        <v>250.16666666666666</v>
      </c>
      <c r="S33" s="20">
        <f>Table2[[#This Row],[Avg]]/17</f>
        <v>14.715686274509803</v>
      </c>
      <c r="V33" s="15">
        <v>10</v>
      </c>
      <c r="W33" s="5" t="s">
        <v>32</v>
      </c>
      <c r="X33" s="4" t="s">
        <v>18</v>
      </c>
      <c r="Y33" s="11">
        <v>289.60000000000002</v>
      </c>
      <c r="Z33" s="11">
        <v>216.9</v>
      </c>
      <c r="AA33" s="10">
        <v>243.7</v>
      </c>
      <c r="AB33" s="10">
        <f>AVERAGE(Table3[[#This Row],[23 Pts]:[25 Proj]])</f>
        <v>250.06666666666669</v>
      </c>
      <c r="AC33" s="20">
        <f>Table3[[#This Row],[Avg]]/17</f>
        <v>14.709803921568628</v>
      </c>
      <c r="AF33" s="15">
        <v>31</v>
      </c>
      <c r="AG33" s="5" t="s">
        <v>261</v>
      </c>
      <c r="AH33" s="4" t="s">
        <v>79</v>
      </c>
      <c r="AI33" s="11">
        <v>123.1</v>
      </c>
      <c r="AJ33" s="11">
        <v>121.9</v>
      </c>
      <c r="AK33" s="10">
        <v>62.1</v>
      </c>
      <c r="AL33" s="10">
        <f>AVERAGE(Table4[[#This Row],[23 Pts]:[25 Proj]])</f>
        <v>102.36666666666667</v>
      </c>
      <c r="AM33" s="20">
        <f>Table4[[#This Row],[Avg]]/17</f>
        <v>6.0215686274509812</v>
      </c>
      <c r="AP33" s="5">
        <v>31</v>
      </c>
      <c r="AQ33" s="5" t="s">
        <v>301</v>
      </c>
      <c r="AR33" s="4" t="s">
        <v>81</v>
      </c>
      <c r="AS33" s="6">
        <v>99</v>
      </c>
      <c r="AT33" s="6">
        <v>73</v>
      </c>
      <c r="AU33" s="6">
        <v>71</v>
      </c>
      <c r="AV33" s="11">
        <f>AVERAGE(Table6[[#This Row],[23 Pts]:[25 Proj]])</f>
        <v>81</v>
      </c>
      <c r="AW33" s="20">
        <f>Table6[[#This Row],[Avg]]/17</f>
        <v>4.7647058823529411</v>
      </c>
    </row>
    <row r="34" spans="2:49" x14ac:dyDescent="0.35">
      <c r="B34" s="8">
        <v>32</v>
      </c>
      <c r="C34" s="8" t="s">
        <v>100</v>
      </c>
      <c r="D34" s="9" t="s">
        <v>31</v>
      </c>
      <c r="E34" s="10">
        <v>154.74</v>
      </c>
      <c r="F34" s="10">
        <v>192.32</v>
      </c>
      <c r="G34" s="10">
        <v>43.61</v>
      </c>
      <c r="H34" s="10">
        <f>AVERAGE(Table1[[#This Row],[23 Pts]:[25 Proj]])</f>
        <v>130.22333333333333</v>
      </c>
      <c r="I34" s="20">
        <f>Table1[[#This Row],[Avg]]/17</f>
        <v>7.6601960784313725</v>
      </c>
      <c r="J34" s="8"/>
      <c r="L34" s="17">
        <v>11</v>
      </c>
      <c r="M34" s="5" t="s">
        <v>57</v>
      </c>
      <c r="N34" s="4" t="s">
        <v>48</v>
      </c>
      <c r="O34" s="11">
        <v>267</v>
      </c>
      <c r="P34" s="11">
        <v>240.5</v>
      </c>
      <c r="Q34" s="10">
        <v>214.9</v>
      </c>
      <c r="R34" s="26">
        <f>AVERAGE(Table2[[#This Row],[23 Pts]:[25 Proj]])</f>
        <v>240.79999999999998</v>
      </c>
      <c r="S34" s="20">
        <f>Table2[[#This Row],[Avg]]/17</f>
        <v>14.164705882352941</v>
      </c>
      <c r="V34" s="15">
        <v>14</v>
      </c>
      <c r="W34" s="5" t="s">
        <v>345</v>
      </c>
      <c r="X34" s="4" t="s">
        <v>38</v>
      </c>
      <c r="Y34" s="11">
        <v>265.39999999999998</v>
      </c>
      <c r="Z34" s="11">
        <v>241.3</v>
      </c>
      <c r="AA34" s="10">
        <v>217.8</v>
      </c>
      <c r="AB34" s="10">
        <f>AVERAGE(Table3[[#This Row],[23 Pts]:[25 Proj]])</f>
        <v>241.5</v>
      </c>
      <c r="AC34" s="20">
        <f>Table3[[#This Row],[Avg]]/17</f>
        <v>14.205882352941176</v>
      </c>
      <c r="AF34" s="15">
        <v>32</v>
      </c>
      <c r="AG34" s="5" t="s">
        <v>266</v>
      </c>
      <c r="AH34" s="4" t="s">
        <v>62</v>
      </c>
      <c r="AI34" s="11">
        <v>143.52000000000001</v>
      </c>
      <c r="AJ34" s="11">
        <v>103.34</v>
      </c>
      <c r="AK34" s="10">
        <v>42.1</v>
      </c>
      <c r="AL34" s="10">
        <f>AVERAGE(Table4[[#This Row],[23 Pts]:[25 Proj]])</f>
        <v>96.320000000000007</v>
      </c>
      <c r="AM34" s="20">
        <f>Table4[[#This Row],[Avg]]/17</f>
        <v>5.6658823529411766</v>
      </c>
      <c r="AP34" s="5">
        <v>32</v>
      </c>
      <c r="AQ34" s="5" t="s">
        <v>300</v>
      </c>
      <c r="AR34" s="4" t="s">
        <v>104</v>
      </c>
      <c r="AS34" s="6">
        <v>71</v>
      </c>
      <c r="AT34" s="6">
        <v>75</v>
      </c>
      <c r="AU34" s="6">
        <v>41</v>
      </c>
      <c r="AV34" s="11">
        <f>AVERAGE(Table6[[#This Row],[23 Pts]:[25 Proj]])</f>
        <v>62.333333333333336</v>
      </c>
      <c r="AW34" s="20">
        <f>Table6[[#This Row],[Avg]]/17</f>
        <v>3.666666666666667</v>
      </c>
    </row>
    <row r="35" spans="2:49" x14ac:dyDescent="0.35">
      <c r="B35" s="8">
        <v>33</v>
      </c>
      <c r="C35" s="8" t="s">
        <v>124</v>
      </c>
      <c r="D35" s="9" t="s">
        <v>34</v>
      </c>
      <c r="E35" s="10">
        <v>108.84</v>
      </c>
      <c r="F35" s="10">
        <v>106.04</v>
      </c>
      <c r="G35" s="10">
        <v>129.84</v>
      </c>
      <c r="H35" s="10">
        <f>AVERAGE(Table1[[#This Row],[23 Pts]:[25 Proj]])</f>
        <v>114.90666666666668</v>
      </c>
      <c r="I35" s="20">
        <f>Table1[[#This Row],[Avg]]/17</f>
        <v>6.7592156862745103</v>
      </c>
      <c r="J35" s="8"/>
      <c r="L35" s="15">
        <v>13</v>
      </c>
      <c r="M35" s="5" t="s">
        <v>71</v>
      </c>
      <c r="N35" s="4" t="s">
        <v>62</v>
      </c>
      <c r="O35" s="11">
        <v>233</v>
      </c>
      <c r="P35" s="11">
        <v>265.3</v>
      </c>
      <c r="Q35" s="10">
        <v>215.8</v>
      </c>
      <c r="R35" s="26">
        <f>AVERAGE(Table2[[#This Row],[23 Pts]:[25 Proj]])</f>
        <v>238.03333333333333</v>
      </c>
      <c r="S35" s="20">
        <f>Table2[[#This Row],[Avg]]/17</f>
        <v>14.001960784313725</v>
      </c>
      <c r="V35" s="15">
        <v>15</v>
      </c>
      <c r="W35" s="5" t="s">
        <v>341</v>
      </c>
      <c r="X35" s="4" t="s">
        <v>59</v>
      </c>
      <c r="Y35" s="11">
        <v>209.2</v>
      </c>
      <c r="Z35" s="11">
        <v>267.8</v>
      </c>
      <c r="AA35" s="10">
        <v>239.6</v>
      </c>
      <c r="AB35" s="10">
        <f>AVERAGE(Table3[[#This Row],[23 Pts]:[25 Proj]])</f>
        <v>238.86666666666667</v>
      </c>
      <c r="AC35" s="20">
        <f>Table3[[#This Row],[Avg]]/17</f>
        <v>14.050980392156863</v>
      </c>
      <c r="AF35" s="15">
        <v>33</v>
      </c>
      <c r="AG35" s="5" t="s">
        <v>253</v>
      </c>
      <c r="AH35" s="4" t="s">
        <v>22</v>
      </c>
      <c r="AI35" s="11">
        <v>70.599999999999994</v>
      </c>
      <c r="AJ35" s="11">
        <v>113.3</v>
      </c>
      <c r="AK35" s="10">
        <v>84.5</v>
      </c>
      <c r="AL35" s="10">
        <f>AVERAGE(Table4[[#This Row],[23 Pts]:[25 Proj]])</f>
        <v>89.466666666666654</v>
      </c>
      <c r="AM35" s="20">
        <f>Table4[[#This Row],[Avg]]/17</f>
        <v>5.2627450980392148</v>
      </c>
    </row>
    <row r="36" spans="2:49" ht="15" customHeight="1" x14ac:dyDescent="0.45">
      <c r="B36" s="8">
        <v>34</v>
      </c>
      <c r="C36" s="8" t="s">
        <v>173</v>
      </c>
      <c r="D36" s="9" t="s">
        <v>22</v>
      </c>
      <c r="E36" s="10">
        <v>205.2</v>
      </c>
      <c r="F36" s="10">
        <v>106.32</v>
      </c>
      <c r="G36" s="10">
        <v>14.38</v>
      </c>
      <c r="H36" s="10">
        <f>AVERAGE(Table1[[#This Row],[23 Pts]:[25 Proj]])</f>
        <v>108.63333333333333</v>
      </c>
      <c r="I36" s="20">
        <f>Table1[[#This Row],[Avg]]/17</f>
        <v>6.3901960784313721</v>
      </c>
      <c r="J36" s="8"/>
      <c r="L36" s="17">
        <v>14</v>
      </c>
      <c r="M36" s="44" t="s">
        <v>11</v>
      </c>
      <c r="N36" s="4" t="s">
        <v>12</v>
      </c>
      <c r="O36" s="11">
        <v>391.3</v>
      </c>
      <c r="P36" s="11">
        <v>47.8</v>
      </c>
      <c r="Q36" s="10">
        <v>270</v>
      </c>
      <c r="R36" s="26">
        <f>AVERAGE(Table2[[#This Row],[23 Pts]:[25 Proj]])</f>
        <v>236.36666666666667</v>
      </c>
      <c r="S36" s="20">
        <f>Table2[[#This Row],[Avg]]/17</f>
        <v>13.903921568627451</v>
      </c>
      <c r="V36" s="15">
        <v>17</v>
      </c>
      <c r="W36" s="5" t="s">
        <v>82</v>
      </c>
      <c r="X36" s="4" t="s">
        <v>20</v>
      </c>
      <c r="Y36" s="11">
        <v>213.2</v>
      </c>
      <c r="Z36" s="11">
        <v>251.9</v>
      </c>
      <c r="AA36" s="10">
        <v>223.9</v>
      </c>
      <c r="AB36" s="10">
        <f>AVERAGE(Table3[[#This Row],[23 Pts]:[25 Proj]])</f>
        <v>229.66666666666666</v>
      </c>
      <c r="AC36" s="20">
        <f>Table3[[#This Row],[Avg]]/17</f>
        <v>13.509803921568627</v>
      </c>
      <c r="AF36" s="15">
        <v>34</v>
      </c>
      <c r="AG36" s="5" t="s">
        <v>251</v>
      </c>
      <c r="AH36" s="4" t="s">
        <v>104</v>
      </c>
      <c r="AI36" s="11" t="s">
        <v>60</v>
      </c>
      <c r="AJ36" s="11">
        <v>73.2</v>
      </c>
      <c r="AK36" s="10">
        <v>104.9</v>
      </c>
      <c r="AL36" s="10">
        <f>AVERAGE(Table4[[#This Row],[23 Pts]:[25 Proj]])</f>
        <v>89.050000000000011</v>
      </c>
      <c r="AM36" s="20">
        <f>Table4[[#This Row],[Avg]]/17</f>
        <v>5.238235294117648</v>
      </c>
      <c r="AP36" s="54" t="s">
        <v>117</v>
      </c>
      <c r="AQ36" s="55"/>
      <c r="AR36" s="55"/>
      <c r="AS36" s="55"/>
      <c r="AT36" s="55"/>
      <c r="AU36" s="55"/>
      <c r="AV36" s="55"/>
      <c r="AW36" s="55"/>
    </row>
    <row r="37" spans="2:49" ht="15" thickBot="1" x14ac:dyDescent="0.4">
      <c r="B37" s="8">
        <v>35</v>
      </c>
      <c r="C37" s="8" t="s">
        <v>106</v>
      </c>
      <c r="D37" s="9" t="s">
        <v>81</v>
      </c>
      <c r="E37" s="10">
        <v>106.02</v>
      </c>
      <c r="F37" s="10">
        <v>131.94</v>
      </c>
      <c r="G37" s="10">
        <v>21.2</v>
      </c>
      <c r="H37" s="10">
        <f>AVERAGE(Table1[[#This Row],[23 Pts]:[25 Proj]])</f>
        <v>86.386666666666656</v>
      </c>
      <c r="I37" s="20">
        <f>Table1[[#This Row],[Avg]]/17</f>
        <v>5.0815686274509799</v>
      </c>
      <c r="J37" s="8"/>
      <c r="L37" s="15">
        <v>18</v>
      </c>
      <c r="M37" s="5" t="s">
        <v>119</v>
      </c>
      <c r="N37" s="4" t="s">
        <v>104</v>
      </c>
      <c r="O37" s="11">
        <v>182.5</v>
      </c>
      <c r="P37" s="11">
        <v>241.6</v>
      </c>
      <c r="Q37" s="10">
        <v>214.8</v>
      </c>
      <c r="R37" s="26">
        <f>AVERAGE(Table2[[#This Row],[23 Pts]:[25 Proj]])</f>
        <v>212.9666666666667</v>
      </c>
      <c r="S37" s="20">
        <f>Table2[[#This Row],[Avg]]/17</f>
        <v>12.527450980392159</v>
      </c>
      <c r="V37" s="15">
        <v>19</v>
      </c>
      <c r="W37" s="5" t="s">
        <v>349</v>
      </c>
      <c r="X37" s="4" t="s">
        <v>94</v>
      </c>
      <c r="Y37" s="11">
        <v>190.2</v>
      </c>
      <c r="Z37" s="11">
        <v>240.3</v>
      </c>
      <c r="AA37" s="10">
        <v>208.5</v>
      </c>
      <c r="AB37" s="10">
        <f>AVERAGE(Table3[[#This Row],[23 Pts]:[25 Proj]])</f>
        <v>213</v>
      </c>
      <c r="AC37" s="20">
        <f>Table3[[#This Row],[Avg]]/17</f>
        <v>12.529411764705882</v>
      </c>
      <c r="AF37" s="15">
        <v>35</v>
      </c>
      <c r="AG37" s="5" t="s">
        <v>202</v>
      </c>
      <c r="AH37" s="4" t="s">
        <v>87</v>
      </c>
      <c r="AI37" s="11" t="s">
        <v>60</v>
      </c>
      <c r="AJ37" s="11">
        <v>68.099999999999994</v>
      </c>
      <c r="AK37" s="10">
        <v>109</v>
      </c>
      <c r="AL37" s="10">
        <f>AVERAGE(Table4[[#This Row],[23 Pts]:[25 Proj]])</f>
        <v>88.55</v>
      </c>
      <c r="AM37" s="20">
        <f>Table4[[#This Row],[Avg]]/17</f>
        <v>5.2088235294117649</v>
      </c>
      <c r="AP37" s="2" t="s">
        <v>2</v>
      </c>
      <c r="AQ37" s="1" t="s">
        <v>3</v>
      </c>
      <c r="AR37" s="1" t="s">
        <v>4</v>
      </c>
      <c r="AS37" s="37" t="s">
        <v>6</v>
      </c>
      <c r="AT37" s="24" t="s">
        <v>170</v>
      </c>
      <c r="AU37" s="23" t="s">
        <v>171</v>
      </c>
      <c r="AV37" s="3" t="s">
        <v>7</v>
      </c>
      <c r="AW37" s="1" t="s">
        <v>152</v>
      </c>
    </row>
    <row r="38" spans="2:49" x14ac:dyDescent="0.35">
      <c r="B38" s="8">
        <v>36</v>
      </c>
      <c r="C38" s="8" t="s">
        <v>112</v>
      </c>
      <c r="D38" s="9" t="s">
        <v>73</v>
      </c>
      <c r="E38" s="10">
        <v>62.96</v>
      </c>
      <c r="F38" s="10">
        <v>142.30000000000001</v>
      </c>
      <c r="G38" s="10">
        <v>52.11</v>
      </c>
      <c r="H38" s="10">
        <f>AVERAGE(Table1[[#This Row],[23 Pts]:[25 Proj]])</f>
        <v>85.79</v>
      </c>
      <c r="I38" s="20">
        <f>Table1[[#This Row],[Avg]]/17</f>
        <v>5.0464705882352945</v>
      </c>
      <c r="J38" s="8"/>
      <c r="L38" s="17">
        <v>20</v>
      </c>
      <c r="M38" s="5" t="s">
        <v>80</v>
      </c>
      <c r="N38" s="4" t="s">
        <v>81</v>
      </c>
      <c r="O38" s="11">
        <v>222.6</v>
      </c>
      <c r="P38" s="11">
        <v>200.7</v>
      </c>
      <c r="Q38" s="10">
        <v>179.3</v>
      </c>
      <c r="R38" s="26">
        <f>AVERAGE(Table2[[#This Row],[23 Pts]:[25 Proj]])</f>
        <v>200.86666666666665</v>
      </c>
      <c r="S38" s="20">
        <f>Table2[[#This Row],[Avg]]/17</f>
        <v>11.815686274509803</v>
      </c>
      <c r="V38" s="15">
        <v>20</v>
      </c>
      <c r="W38" s="5" t="s">
        <v>351</v>
      </c>
      <c r="X38" s="4" t="s">
        <v>18</v>
      </c>
      <c r="Y38" s="11">
        <v>227.6</v>
      </c>
      <c r="Z38" s="11">
        <v>199.4</v>
      </c>
      <c r="AA38" s="10">
        <v>205</v>
      </c>
      <c r="AB38" s="10">
        <f>AVERAGE(Table3[[#This Row],[23 Pts]:[25 Proj]])</f>
        <v>210.66666666666666</v>
      </c>
      <c r="AC38" s="20">
        <f>Table3[[#This Row],[Avg]]/17</f>
        <v>12.392156862745097</v>
      </c>
      <c r="AF38" s="15">
        <v>36</v>
      </c>
      <c r="AG38" s="5" t="s">
        <v>259</v>
      </c>
      <c r="AH38" s="4" t="s">
        <v>44</v>
      </c>
      <c r="AI38" s="11">
        <v>73.400000000000006</v>
      </c>
      <c r="AJ38" s="11">
        <v>104</v>
      </c>
      <c r="AK38" s="10">
        <v>66.7</v>
      </c>
      <c r="AL38" s="10">
        <f>AVERAGE(Table4[[#This Row],[23 Pts]:[25 Proj]])</f>
        <v>81.366666666666674</v>
      </c>
      <c r="AM38" s="20">
        <f>Table4[[#This Row],[Avg]]/17</f>
        <v>4.7862745098039223</v>
      </c>
      <c r="AP38" s="5">
        <v>1</v>
      </c>
      <c r="AQ38" s="41" t="s">
        <v>303</v>
      </c>
      <c r="AR38" s="4" t="s">
        <v>14</v>
      </c>
      <c r="AS38" s="6">
        <v>181</v>
      </c>
      <c r="AT38" s="6">
        <v>192</v>
      </c>
      <c r="AU38" s="6">
        <v>164</v>
      </c>
      <c r="AV38" s="11">
        <f>AVERAGE(Table7[[#This Row],[23 Pts]:[25 Proj]])</f>
        <v>179</v>
      </c>
      <c r="AW38" s="20">
        <f>Table7[[#This Row],[Avg]]/17</f>
        <v>10.529411764705882</v>
      </c>
    </row>
    <row r="39" spans="2:49" x14ac:dyDescent="0.35">
      <c r="B39" s="8">
        <v>37</v>
      </c>
      <c r="C39" s="8" t="s">
        <v>175</v>
      </c>
      <c r="D39" s="9" t="s">
        <v>83</v>
      </c>
      <c r="E39" s="10">
        <v>210.66</v>
      </c>
      <c r="F39" s="10">
        <v>32.840000000000003</v>
      </c>
      <c r="G39" s="10">
        <v>12.9</v>
      </c>
      <c r="H39" s="10">
        <f>AVERAGE(Table1[[#This Row],[23 Pts]:[25 Proj]])</f>
        <v>85.466666666666654</v>
      </c>
      <c r="I39" s="20">
        <f>Table1[[#This Row],[Avg]]/17</f>
        <v>5.0274509803921559</v>
      </c>
      <c r="J39" s="8"/>
      <c r="L39" s="15">
        <v>22</v>
      </c>
      <c r="M39" s="5" t="s">
        <v>26</v>
      </c>
      <c r="N39" s="4" t="s">
        <v>27</v>
      </c>
      <c r="O39" s="11">
        <v>282.39999999999998</v>
      </c>
      <c r="P39" s="11">
        <v>130.19999999999999</v>
      </c>
      <c r="Q39" s="10">
        <v>168.6</v>
      </c>
      <c r="R39" s="26">
        <f>AVERAGE(Table2[[#This Row],[23 Pts]:[25 Proj]])</f>
        <v>193.73333333333332</v>
      </c>
      <c r="S39" s="20">
        <f>Table2[[#This Row],[Avg]]/17</f>
        <v>11.396078431372548</v>
      </c>
      <c r="V39" s="15">
        <v>22</v>
      </c>
      <c r="W39" s="5" t="s">
        <v>362</v>
      </c>
      <c r="X39" s="4" t="s">
        <v>65</v>
      </c>
      <c r="Y39" s="11">
        <v>218.58</v>
      </c>
      <c r="Z39" s="11">
        <v>218</v>
      </c>
      <c r="AA39" s="10">
        <v>189.66</v>
      </c>
      <c r="AB39" s="10">
        <f>AVERAGE(Table3[[#This Row],[23 Pts]:[25 Proj]])</f>
        <v>208.74666666666667</v>
      </c>
      <c r="AC39" s="20">
        <f>Table3[[#This Row],[Avg]]/17</f>
        <v>12.27921568627451</v>
      </c>
      <c r="AF39" s="15">
        <v>37</v>
      </c>
      <c r="AG39" s="5" t="s">
        <v>254</v>
      </c>
      <c r="AH39" s="4" t="s">
        <v>85</v>
      </c>
      <c r="AI39" s="11" t="s">
        <v>60</v>
      </c>
      <c r="AJ39" s="11">
        <v>78.5</v>
      </c>
      <c r="AK39" s="10">
        <v>75.099999999999994</v>
      </c>
      <c r="AL39" s="10">
        <f>AVERAGE(Table4[[#This Row],[23 Pts]:[25 Proj]])</f>
        <v>76.8</v>
      </c>
      <c r="AM39" s="20">
        <f>Table4[[#This Row],[Avg]]/17</f>
        <v>4.5176470588235293</v>
      </c>
      <c r="AP39" s="5">
        <v>3</v>
      </c>
      <c r="AQ39" s="41" t="s">
        <v>309</v>
      </c>
      <c r="AR39" s="4" t="s">
        <v>52</v>
      </c>
      <c r="AS39" s="6">
        <v>133</v>
      </c>
      <c r="AT39" s="6">
        <v>191</v>
      </c>
      <c r="AU39" s="6">
        <v>144</v>
      </c>
      <c r="AV39" s="11">
        <f>AVERAGE(Table7[[#This Row],[23 Pts]:[25 Proj]])</f>
        <v>156</v>
      </c>
      <c r="AW39" s="20">
        <f>Table7[[#This Row],[Avg]]/17</f>
        <v>9.1764705882352935</v>
      </c>
    </row>
    <row r="40" spans="2:49" x14ac:dyDescent="0.35">
      <c r="B40" s="8">
        <v>38</v>
      </c>
      <c r="C40" s="8" t="s">
        <v>108</v>
      </c>
      <c r="D40" s="9" t="s">
        <v>34</v>
      </c>
      <c r="E40" s="10">
        <v>90.8</v>
      </c>
      <c r="F40" s="10">
        <v>79.72</v>
      </c>
      <c r="G40" s="10">
        <v>29.92</v>
      </c>
      <c r="H40" s="10">
        <f>AVERAGE(Table1[[#This Row],[23 Pts]:[25 Proj]])</f>
        <v>66.813333333333333</v>
      </c>
      <c r="I40" s="20">
        <f>Table1[[#This Row],[Avg]]/17</f>
        <v>3.9301960784313725</v>
      </c>
      <c r="J40" s="8"/>
      <c r="L40" s="17">
        <v>23</v>
      </c>
      <c r="M40" s="5" t="s">
        <v>41</v>
      </c>
      <c r="N40" s="4" t="s">
        <v>42</v>
      </c>
      <c r="O40" s="11">
        <v>267.89999999999998</v>
      </c>
      <c r="P40" s="11">
        <v>199.6</v>
      </c>
      <c r="Q40" s="10">
        <v>106.6</v>
      </c>
      <c r="R40" s="26">
        <f>AVERAGE(Table2[[#This Row],[23 Pts]:[25 Proj]])</f>
        <v>191.36666666666667</v>
      </c>
      <c r="S40" s="20">
        <f>Table2[[#This Row],[Avg]]/17</f>
        <v>11.25686274509804</v>
      </c>
      <c r="V40" s="15">
        <v>23</v>
      </c>
      <c r="W40" s="5" t="s">
        <v>348</v>
      </c>
      <c r="X40" s="4" t="s">
        <v>52</v>
      </c>
      <c r="Y40" s="11">
        <v>225.4</v>
      </c>
      <c r="Z40" s="11">
        <v>191.2</v>
      </c>
      <c r="AA40" s="10">
        <v>209</v>
      </c>
      <c r="AB40" s="10">
        <f>AVERAGE(Table3[[#This Row],[23 Pts]:[25 Proj]])</f>
        <v>208.53333333333333</v>
      </c>
      <c r="AC40" s="20">
        <f>Table3[[#This Row],[Avg]]/17</f>
        <v>12.266666666666666</v>
      </c>
      <c r="AF40" s="15">
        <v>38</v>
      </c>
      <c r="AG40" s="5" t="s">
        <v>240</v>
      </c>
      <c r="AH40" s="4" t="s">
        <v>27</v>
      </c>
      <c r="AI40" s="11">
        <v>14.5</v>
      </c>
      <c r="AJ40" s="11">
        <v>91.1</v>
      </c>
      <c r="AK40" s="10">
        <v>114.2</v>
      </c>
      <c r="AL40" s="10">
        <f>AVERAGE(Table4[[#This Row],[23 Pts]:[25 Proj]])</f>
        <v>73.266666666666666</v>
      </c>
      <c r="AM40" s="20">
        <f>Table4[[#This Row],[Avg]]/17</f>
        <v>4.3098039215686272</v>
      </c>
      <c r="AP40" s="5">
        <v>6</v>
      </c>
      <c r="AQ40" s="41" t="s">
        <v>251</v>
      </c>
      <c r="AR40" s="4" t="s">
        <v>21</v>
      </c>
      <c r="AS40" s="6">
        <v>146</v>
      </c>
      <c r="AT40" s="6">
        <v>166</v>
      </c>
      <c r="AU40" s="6">
        <v>133</v>
      </c>
      <c r="AV40" s="11">
        <f>AVERAGE(Table7[[#This Row],[23 Pts]:[25 Proj]])</f>
        <v>148.33333333333334</v>
      </c>
      <c r="AW40" s="20">
        <f>Table7[[#This Row],[Avg]]/17</f>
        <v>8.7254901960784323</v>
      </c>
    </row>
    <row r="41" spans="2:49" x14ac:dyDescent="0.35">
      <c r="B41" s="8">
        <v>39</v>
      </c>
      <c r="C41" s="8" t="s">
        <v>165</v>
      </c>
      <c r="D41" s="9" t="s">
        <v>62</v>
      </c>
      <c r="E41" s="10" t="s">
        <v>60</v>
      </c>
      <c r="F41" s="10">
        <v>72.28</v>
      </c>
      <c r="G41" s="10">
        <v>54.87</v>
      </c>
      <c r="H41" s="10">
        <f>AVERAGE(Table1[[#This Row],[23 Pts]:[25 Proj]])</f>
        <v>63.575000000000003</v>
      </c>
      <c r="I41" s="20">
        <f>Table1[[#This Row],[Avg]]/17</f>
        <v>3.7397058823529412</v>
      </c>
      <c r="J41" s="8"/>
      <c r="L41" s="15">
        <v>24</v>
      </c>
      <c r="M41" s="5" t="s">
        <v>90</v>
      </c>
      <c r="N41" s="4" t="s">
        <v>85</v>
      </c>
      <c r="O41" s="11">
        <v>199.4</v>
      </c>
      <c r="P41" s="11">
        <v>181.2</v>
      </c>
      <c r="Q41" s="10">
        <v>180.2</v>
      </c>
      <c r="R41" s="26">
        <f>AVERAGE(Table2[[#This Row],[23 Pts]:[25 Proj]])</f>
        <v>186.93333333333331</v>
      </c>
      <c r="S41" s="20">
        <f>Table2[[#This Row],[Avg]]/17</f>
        <v>10.996078431372547</v>
      </c>
      <c r="V41" s="15">
        <v>25</v>
      </c>
      <c r="W41" s="5" t="s">
        <v>366</v>
      </c>
      <c r="X41" s="4" t="s">
        <v>51</v>
      </c>
      <c r="Y41" s="11">
        <v>221.3</v>
      </c>
      <c r="Z41" s="11">
        <v>212.5</v>
      </c>
      <c r="AA41" s="10">
        <v>177.7</v>
      </c>
      <c r="AB41" s="10">
        <f>AVERAGE(Table3[[#This Row],[23 Pts]:[25 Proj]])</f>
        <v>203.83333333333334</v>
      </c>
      <c r="AC41" s="20">
        <f>Table3[[#This Row],[Avg]]/17</f>
        <v>11.990196078431373</v>
      </c>
      <c r="AF41" s="15">
        <v>39</v>
      </c>
      <c r="AG41" s="5" t="s">
        <v>260</v>
      </c>
      <c r="AH41" s="4" t="s">
        <v>79</v>
      </c>
      <c r="AI41" s="11">
        <v>40.200000000000003</v>
      </c>
      <c r="AJ41" s="11">
        <v>110.1</v>
      </c>
      <c r="AK41" s="10">
        <v>66.599999999999994</v>
      </c>
      <c r="AL41" s="10">
        <f>AVERAGE(Table4[[#This Row],[23 Pts]:[25 Proj]])</f>
        <v>72.3</v>
      </c>
      <c r="AM41" s="20">
        <f>Table4[[#This Row],[Avg]]/17</f>
        <v>4.2529411764705882</v>
      </c>
      <c r="AP41" s="5">
        <v>2</v>
      </c>
      <c r="AQ41" s="5" t="s">
        <v>304</v>
      </c>
      <c r="AR41" s="4" t="s">
        <v>79</v>
      </c>
      <c r="AS41" s="6">
        <v>151</v>
      </c>
      <c r="AT41" s="6">
        <v>179</v>
      </c>
      <c r="AU41" s="6">
        <v>153</v>
      </c>
      <c r="AV41" s="11">
        <f>AVERAGE(Table7[[#This Row],[23 Pts]:[25 Proj]])</f>
        <v>161</v>
      </c>
      <c r="AW41" s="20">
        <f>Table7[[#This Row],[Avg]]/17</f>
        <v>9.4705882352941178</v>
      </c>
    </row>
    <row r="42" spans="2:49" x14ac:dyDescent="0.35">
      <c r="B42" s="8">
        <v>40</v>
      </c>
      <c r="C42" s="8" t="s">
        <v>164</v>
      </c>
      <c r="D42" s="9" t="s">
        <v>87</v>
      </c>
      <c r="E42" s="10">
        <v>14.96</v>
      </c>
      <c r="F42" s="10">
        <v>143.13999999999999</v>
      </c>
      <c r="G42" s="10">
        <v>26.45</v>
      </c>
      <c r="H42" s="10">
        <f>AVERAGE(Table1[[#This Row],[23 Pts]:[25 Proj]])</f>
        <v>61.516666666666659</v>
      </c>
      <c r="I42" s="20">
        <f>Table1[[#This Row],[Avg]]/17</f>
        <v>3.6186274509803917</v>
      </c>
      <c r="J42" s="8"/>
      <c r="L42" s="17">
        <v>26</v>
      </c>
      <c r="M42" s="5" t="s">
        <v>182</v>
      </c>
      <c r="N42" s="4" t="s">
        <v>51</v>
      </c>
      <c r="O42" s="11">
        <v>134.9</v>
      </c>
      <c r="P42" s="11">
        <v>241.6</v>
      </c>
      <c r="Q42" s="10">
        <v>176.8</v>
      </c>
      <c r="R42" s="26">
        <f>AVERAGE(Table2[[#This Row],[23 Pts]:[25 Proj]])</f>
        <v>184.43333333333331</v>
      </c>
      <c r="S42" s="20">
        <f>Table2[[#This Row],[Avg]]/17</f>
        <v>10.849019607843136</v>
      </c>
      <c r="V42" s="15">
        <v>26</v>
      </c>
      <c r="W42" s="5" t="s">
        <v>359</v>
      </c>
      <c r="X42" s="4" t="s">
        <v>23</v>
      </c>
      <c r="Y42" s="11">
        <v>206.4</v>
      </c>
      <c r="Z42" s="11">
        <v>209.5</v>
      </c>
      <c r="AA42" s="10">
        <v>194.2</v>
      </c>
      <c r="AB42" s="10">
        <f>AVERAGE(Table3[[#This Row],[23 Pts]:[25 Proj]])</f>
        <v>203.36666666666665</v>
      </c>
      <c r="AC42" s="20">
        <f>Table3[[#This Row],[Avg]]/17</f>
        <v>11.962745098039214</v>
      </c>
      <c r="AF42" s="15">
        <v>40</v>
      </c>
      <c r="AG42" s="5" t="s">
        <v>256</v>
      </c>
      <c r="AH42" s="4" t="s">
        <v>34</v>
      </c>
      <c r="AI42" s="11" t="s">
        <v>60</v>
      </c>
      <c r="AJ42" s="11" t="s">
        <v>60</v>
      </c>
      <c r="AK42" s="10">
        <v>71.5</v>
      </c>
      <c r="AL42" s="10">
        <f>AVERAGE(Table4[[#This Row],[23 Pts]:[25 Proj]])</f>
        <v>71.5</v>
      </c>
      <c r="AM42" s="20">
        <f>Table4[[#This Row],[Avg]]/17</f>
        <v>4.2058823529411766</v>
      </c>
      <c r="AP42" s="5">
        <v>4</v>
      </c>
      <c r="AQ42" s="5" t="s">
        <v>305</v>
      </c>
      <c r="AR42" s="4" t="s">
        <v>16</v>
      </c>
      <c r="AS42" s="6" t="s">
        <v>60</v>
      </c>
      <c r="AT42" s="6">
        <v>161</v>
      </c>
      <c r="AU42" s="6">
        <v>148</v>
      </c>
      <c r="AV42" s="11">
        <f>AVERAGE(Table7[[#This Row],[23 Pts]:[25 Proj]])</f>
        <v>154.5</v>
      </c>
      <c r="AW42" s="20">
        <f>Table7[[#This Row],[Avg]]/17</f>
        <v>9.0882352941176467</v>
      </c>
    </row>
    <row r="43" spans="2:49" x14ac:dyDescent="0.35">
      <c r="B43" s="8">
        <v>41</v>
      </c>
      <c r="C43" s="8" t="s">
        <v>162</v>
      </c>
      <c r="D43" s="9" t="s">
        <v>87</v>
      </c>
      <c r="E43" s="10" t="s">
        <v>60</v>
      </c>
      <c r="F43" s="10" t="s">
        <v>60</v>
      </c>
      <c r="G43" s="10">
        <v>57.19</v>
      </c>
      <c r="H43" s="10">
        <f>AVERAGE(Table1[[#This Row],[23 Pts]:[25 Proj]])</f>
        <v>57.19</v>
      </c>
      <c r="I43" s="20">
        <f>Table1[[#This Row],[Avg]]/17</f>
        <v>3.3641176470588232</v>
      </c>
      <c r="J43" s="8"/>
      <c r="L43" s="15">
        <v>27</v>
      </c>
      <c r="M43" s="5" t="s">
        <v>97</v>
      </c>
      <c r="N43" s="4" t="s">
        <v>79</v>
      </c>
      <c r="O43" s="11">
        <v>195.5</v>
      </c>
      <c r="P43" s="11">
        <v>204.6</v>
      </c>
      <c r="Q43" s="10">
        <v>147.1</v>
      </c>
      <c r="R43" s="26">
        <f>AVERAGE(Table2[[#This Row],[23 Pts]:[25 Proj]])</f>
        <v>182.4</v>
      </c>
      <c r="S43" s="20">
        <f>Table2[[#This Row],[Avg]]/17</f>
        <v>10.729411764705883</v>
      </c>
      <c r="V43" s="15">
        <v>29</v>
      </c>
      <c r="W43" s="5" t="s">
        <v>367</v>
      </c>
      <c r="X43" s="4" t="s">
        <v>40</v>
      </c>
      <c r="Y43" s="11">
        <v>217.2</v>
      </c>
      <c r="Z43" s="11">
        <v>197</v>
      </c>
      <c r="AA43" s="10">
        <v>174.7</v>
      </c>
      <c r="AB43" s="10">
        <f>AVERAGE(Table3[[#This Row],[23 Pts]:[25 Proj]])</f>
        <v>196.29999999999998</v>
      </c>
      <c r="AC43" s="20">
        <f>Table3[[#This Row],[Avg]]/17</f>
        <v>11.547058823529412</v>
      </c>
      <c r="AF43" s="15">
        <v>41</v>
      </c>
      <c r="AG43" s="5" t="s">
        <v>257</v>
      </c>
      <c r="AH43" s="4" t="s">
        <v>38</v>
      </c>
      <c r="AI43" s="11">
        <v>108.5</v>
      </c>
      <c r="AJ43" s="11">
        <v>26.6</v>
      </c>
      <c r="AK43" s="10">
        <v>71.099999999999994</v>
      </c>
      <c r="AL43" s="10">
        <f>AVERAGE(Table4[[#This Row],[23 Pts]:[25 Proj]])</f>
        <v>68.733333333333334</v>
      </c>
      <c r="AM43" s="20">
        <f>Table4[[#This Row],[Avg]]/17</f>
        <v>4.0431372549019606</v>
      </c>
      <c r="AP43" s="5">
        <v>5</v>
      </c>
      <c r="AQ43" s="5" t="s">
        <v>308</v>
      </c>
      <c r="AR43" s="4" t="s">
        <v>42</v>
      </c>
      <c r="AS43" s="6">
        <v>136</v>
      </c>
      <c r="AT43" s="6">
        <v>164</v>
      </c>
      <c r="AU43" s="6">
        <v>146</v>
      </c>
      <c r="AV43" s="11">
        <f>AVERAGE(Table7[[#This Row],[23 Pts]:[25 Proj]])</f>
        <v>148.66666666666666</v>
      </c>
      <c r="AW43" s="20">
        <f>Table7[[#This Row],[Avg]]/17</f>
        <v>8.7450980392156854</v>
      </c>
    </row>
    <row r="44" spans="2:49" x14ac:dyDescent="0.35">
      <c r="B44" s="8">
        <v>42</v>
      </c>
      <c r="C44" s="8" t="s">
        <v>166</v>
      </c>
      <c r="D44" s="9" t="s">
        <v>34</v>
      </c>
      <c r="E44" s="10">
        <v>114.2</v>
      </c>
      <c r="F44" s="10">
        <v>26.14</v>
      </c>
      <c r="G44" s="10">
        <v>28.34</v>
      </c>
      <c r="H44" s="10">
        <f>AVERAGE(Table1[[#This Row],[23 Pts]:[25 Proj]])</f>
        <v>56.226666666666667</v>
      </c>
      <c r="I44" s="20">
        <f>Table1[[#This Row],[Avg]]/17</f>
        <v>3.307450980392157</v>
      </c>
      <c r="J44" s="8"/>
      <c r="L44" s="17">
        <v>29</v>
      </c>
      <c r="M44" s="5" t="s">
        <v>181</v>
      </c>
      <c r="N44" s="4" t="s">
        <v>34</v>
      </c>
      <c r="O44" s="11" t="s">
        <v>60</v>
      </c>
      <c r="P44" s="11" t="s">
        <v>60</v>
      </c>
      <c r="Q44" s="10">
        <v>180.4</v>
      </c>
      <c r="R44" s="26">
        <f>AVERAGE(Table2[[#This Row],[23 Pts]:[25 Proj]])</f>
        <v>180.4</v>
      </c>
      <c r="S44" s="20">
        <f>Table2[[#This Row],[Avg]]/17</f>
        <v>10.611764705882353</v>
      </c>
      <c r="V44" s="15">
        <v>31</v>
      </c>
      <c r="W44" s="5" t="s">
        <v>364</v>
      </c>
      <c r="X44" s="4" t="s">
        <v>59</v>
      </c>
      <c r="Y44" s="11">
        <v>243.7</v>
      </c>
      <c r="Z44" s="11">
        <v>153.6</v>
      </c>
      <c r="AA44" s="10">
        <v>184.6</v>
      </c>
      <c r="AB44" s="10">
        <f>AVERAGE(Table3[[#This Row],[23 Pts]:[25 Proj]])</f>
        <v>193.96666666666667</v>
      </c>
      <c r="AC44" s="20">
        <f>Table3[[#This Row],[Avg]]/17</f>
        <v>11.409803921568628</v>
      </c>
      <c r="AF44" s="15">
        <v>42</v>
      </c>
      <c r="AG44" s="5" t="s">
        <v>268</v>
      </c>
      <c r="AH44" s="4" t="s">
        <v>83</v>
      </c>
      <c r="AI44" s="11">
        <v>48.4</v>
      </c>
      <c r="AJ44" s="11">
        <v>108.6</v>
      </c>
      <c r="AK44" s="10">
        <v>40.200000000000003</v>
      </c>
      <c r="AL44" s="10">
        <f>AVERAGE(Table4[[#This Row],[23 Pts]:[25 Proj]])</f>
        <v>65.733333333333334</v>
      </c>
      <c r="AM44" s="20">
        <f>Table4[[#This Row],[Avg]]/17</f>
        <v>3.8666666666666667</v>
      </c>
      <c r="AP44" s="5">
        <v>7</v>
      </c>
      <c r="AQ44" s="5" t="s">
        <v>315</v>
      </c>
      <c r="AR44" s="4" t="s">
        <v>18</v>
      </c>
      <c r="AS44" s="6">
        <v>156</v>
      </c>
      <c r="AT44" s="6">
        <v>141</v>
      </c>
      <c r="AU44" s="6">
        <v>141</v>
      </c>
      <c r="AV44" s="11">
        <f>AVERAGE(Table7[[#This Row],[23 Pts]:[25 Proj]])</f>
        <v>146</v>
      </c>
      <c r="AW44" s="20">
        <f>Table7[[#This Row],[Avg]]/17</f>
        <v>8.5882352941176467</v>
      </c>
    </row>
    <row r="45" spans="2:49" x14ac:dyDescent="0.35">
      <c r="B45" s="8">
        <v>43</v>
      </c>
      <c r="C45" s="8" t="s">
        <v>121</v>
      </c>
      <c r="D45" s="9" t="s">
        <v>44</v>
      </c>
      <c r="E45" s="10">
        <v>151.44</v>
      </c>
      <c r="F45" s="10">
        <v>0.2</v>
      </c>
      <c r="G45" s="10">
        <v>12.58</v>
      </c>
      <c r="H45" s="10">
        <f>AVERAGE(Table1[[#This Row],[23 Pts]:[25 Proj]])</f>
        <v>54.74</v>
      </c>
      <c r="I45" s="20">
        <f>Table1[[#This Row],[Avg]]/17</f>
        <v>3.22</v>
      </c>
      <c r="J45" s="8"/>
      <c r="L45" s="15">
        <v>31</v>
      </c>
      <c r="M45" s="5" t="s">
        <v>184</v>
      </c>
      <c r="N45" s="4" t="s">
        <v>59</v>
      </c>
      <c r="O45" s="11">
        <v>198.1</v>
      </c>
      <c r="P45" s="11">
        <v>159.80000000000001</v>
      </c>
      <c r="Q45" s="10">
        <v>149.4</v>
      </c>
      <c r="R45" s="26">
        <f>AVERAGE(Table2[[#This Row],[23 Pts]:[25 Proj]])</f>
        <v>169.1</v>
      </c>
      <c r="S45" s="20">
        <f>Table2[[#This Row],[Avg]]/17</f>
        <v>9.947058823529412</v>
      </c>
      <c r="V45" s="15">
        <v>32</v>
      </c>
      <c r="W45" s="5" t="s">
        <v>376</v>
      </c>
      <c r="X45" s="4" t="s">
        <v>73</v>
      </c>
      <c r="Y45" s="11">
        <v>250.2</v>
      </c>
      <c r="Z45" s="11">
        <v>165.8</v>
      </c>
      <c r="AA45" s="10">
        <v>165</v>
      </c>
      <c r="AB45" s="10">
        <f>AVERAGE(Table3[[#This Row],[23 Pts]:[25 Proj]])</f>
        <v>193.66666666666666</v>
      </c>
      <c r="AC45" s="20">
        <f>Table3[[#This Row],[Avg]]/17</f>
        <v>11.392156862745097</v>
      </c>
      <c r="AF45" s="15">
        <v>43</v>
      </c>
      <c r="AG45" s="5" t="s">
        <v>262</v>
      </c>
      <c r="AH45" s="4" t="s">
        <v>79</v>
      </c>
      <c r="AI45" s="11" t="s">
        <v>60</v>
      </c>
      <c r="AJ45" s="11" t="s">
        <v>60</v>
      </c>
      <c r="AK45" s="10">
        <v>60.2</v>
      </c>
      <c r="AL45" s="10">
        <f>AVERAGE(Table4[[#This Row],[23 Pts]:[25 Proj]])</f>
        <v>60.2</v>
      </c>
      <c r="AM45" s="20">
        <f>Table4[[#This Row],[Avg]]/17</f>
        <v>3.5411764705882356</v>
      </c>
      <c r="AP45" s="5">
        <v>8</v>
      </c>
      <c r="AQ45" s="5" t="s">
        <v>311</v>
      </c>
      <c r="AR45" s="4" t="s">
        <v>59</v>
      </c>
      <c r="AS45" s="6">
        <v>157</v>
      </c>
      <c r="AT45" s="6">
        <v>139</v>
      </c>
      <c r="AU45" s="6">
        <v>142</v>
      </c>
      <c r="AV45" s="11">
        <f>AVERAGE(Table7[[#This Row],[23 Pts]:[25 Proj]])</f>
        <v>146</v>
      </c>
      <c r="AW45" s="20">
        <f>Table7[[#This Row],[Avg]]/17</f>
        <v>8.5882352941176467</v>
      </c>
    </row>
    <row r="46" spans="2:49" x14ac:dyDescent="0.35">
      <c r="B46" s="8">
        <v>44</v>
      </c>
      <c r="C46" s="8" t="s">
        <v>163</v>
      </c>
      <c r="D46" s="9" t="s">
        <v>34</v>
      </c>
      <c r="E46" s="10" t="s">
        <v>60</v>
      </c>
      <c r="F46" s="10" t="s">
        <v>60</v>
      </c>
      <c r="G46" s="10">
        <v>32.61</v>
      </c>
      <c r="H46" s="10">
        <f>AVERAGE(Table1[[#This Row],[23 Pts]:[25 Proj]])</f>
        <v>32.61</v>
      </c>
      <c r="I46" s="20">
        <f>Table1[[#This Row],[Avg]]/17</f>
        <v>1.918235294117647</v>
      </c>
      <c r="J46" s="8"/>
      <c r="L46" s="17">
        <v>32</v>
      </c>
      <c r="M46" s="5" t="s">
        <v>136</v>
      </c>
      <c r="N46" s="4" t="s">
        <v>87</v>
      </c>
      <c r="O46" s="11" t="s">
        <v>60</v>
      </c>
      <c r="P46" s="11">
        <v>182.3</v>
      </c>
      <c r="Q46" s="10">
        <v>155.5</v>
      </c>
      <c r="R46" s="26">
        <f>AVERAGE(Table2[[#This Row],[23 Pts]:[25 Proj]])</f>
        <v>168.9</v>
      </c>
      <c r="S46" s="20">
        <f>Table2[[#This Row],[Avg]]/17</f>
        <v>9.9352941176470591</v>
      </c>
      <c r="V46" s="15">
        <v>34</v>
      </c>
      <c r="W46" s="5" t="s">
        <v>358</v>
      </c>
      <c r="X46" s="4" t="s">
        <v>34</v>
      </c>
      <c r="Y46" s="11">
        <v>141.80000000000001</v>
      </c>
      <c r="Z46" s="11">
        <v>240.9</v>
      </c>
      <c r="AA46" s="10">
        <v>195</v>
      </c>
      <c r="AB46" s="10">
        <f>AVERAGE(Table3[[#This Row],[23 Pts]:[25 Proj]])</f>
        <v>192.56666666666669</v>
      </c>
      <c r="AC46" s="20">
        <f>Table3[[#This Row],[Avg]]/17</f>
        <v>11.327450980392157</v>
      </c>
      <c r="AF46" s="15">
        <v>44</v>
      </c>
      <c r="AG46" s="5" t="s">
        <v>258</v>
      </c>
      <c r="AH46" s="4" t="s">
        <v>65</v>
      </c>
      <c r="AI46" s="11">
        <v>69.400000000000006</v>
      </c>
      <c r="AJ46" s="11">
        <v>36.6</v>
      </c>
      <c r="AK46" s="10">
        <v>69.5</v>
      </c>
      <c r="AL46" s="10">
        <f>AVERAGE(Table4[[#This Row],[23 Pts]:[25 Proj]])</f>
        <v>58.5</v>
      </c>
      <c r="AM46" s="20">
        <f>Table4[[#This Row],[Avg]]/17</f>
        <v>3.4411764705882355</v>
      </c>
      <c r="AP46" s="5">
        <v>9</v>
      </c>
      <c r="AQ46" s="5" t="s">
        <v>306</v>
      </c>
      <c r="AR46" s="4" t="s">
        <v>48</v>
      </c>
      <c r="AS46" s="6">
        <v>114</v>
      </c>
      <c r="AT46" s="6">
        <v>172</v>
      </c>
      <c r="AU46" s="6">
        <v>147</v>
      </c>
      <c r="AV46" s="11">
        <f>AVERAGE(Table7[[#This Row],[23 Pts]:[25 Proj]])</f>
        <v>144.33333333333334</v>
      </c>
      <c r="AW46" s="20">
        <f>Table7[[#This Row],[Avg]]/17</f>
        <v>8.4901960784313726</v>
      </c>
    </row>
    <row r="47" spans="2:49" x14ac:dyDescent="0.35">
      <c r="B47" s="8">
        <v>45</v>
      </c>
      <c r="C47" s="8" t="s">
        <v>172</v>
      </c>
      <c r="D47" s="9" t="s">
        <v>27</v>
      </c>
      <c r="E47" s="10">
        <v>74.739999999999995</v>
      </c>
      <c r="F47" s="10">
        <v>1.32</v>
      </c>
      <c r="G47" s="10">
        <v>15.94</v>
      </c>
      <c r="H47" s="10">
        <f>AVERAGE(Table1[[#This Row],[23 Pts]:[25 Proj]])</f>
        <v>30.666666666666661</v>
      </c>
      <c r="I47" s="20">
        <f>Table1[[#This Row],[Avg]]/17</f>
        <v>1.8039215686274506</v>
      </c>
      <c r="J47" s="8"/>
      <c r="L47" s="15">
        <v>34</v>
      </c>
      <c r="M47" s="5" t="s">
        <v>101</v>
      </c>
      <c r="N47" s="4" t="s">
        <v>52</v>
      </c>
      <c r="O47" s="11">
        <v>196.4</v>
      </c>
      <c r="P47" s="11">
        <v>124.1</v>
      </c>
      <c r="Q47" s="10">
        <v>175.8</v>
      </c>
      <c r="R47" s="26">
        <f>AVERAGE(Table2[[#This Row],[23 Pts]:[25 Proj]])</f>
        <v>165.43333333333334</v>
      </c>
      <c r="S47" s="20">
        <f>Table2[[#This Row],[Avg]]/17</f>
        <v>9.7313725490196088</v>
      </c>
      <c r="V47" s="15">
        <v>37</v>
      </c>
      <c r="W47" s="5" t="s">
        <v>403</v>
      </c>
      <c r="X47" s="4" t="s">
        <v>79</v>
      </c>
      <c r="Y47" s="11">
        <v>278.86</v>
      </c>
      <c r="Z47" s="11">
        <v>185.4</v>
      </c>
      <c r="AA47" s="10">
        <v>101.9</v>
      </c>
      <c r="AB47" s="10">
        <f>AVERAGE(Table3[[#This Row],[23 Pts]:[25 Proj]])</f>
        <v>188.72</v>
      </c>
      <c r="AC47" s="20">
        <f>Table3[[#This Row],[Avg]]/17</f>
        <v>11.101176470588236</v>
      </c>
      <c r="AF47" s="15">
        <v>45</v>
      </c>
      <c r="AG47" s="5" t="s">
        <v>264</v>
      </c>
      <c r="AH47" s="4" t="s">
        <v>9</v>
      </c>
      <c r="AI47" s="11">
        <v>54.6</v>
      </c>
      <c r="AJ47" s="11">
        <v>59.1</v>
      </c>
      <c r="AK47" s="10">
        <v>57.7</v>
      </c>
      <c r="AL47" s="10">
        <f>AVERAGE(Table4[[#This Row],[23 Pts]:[25 Proj]])</f>
        <v>57.133333333333333</v>
      </c>
      <c r="AM47" s="20">
        <f>Table4[[#This Row],[Avg]]/17</f>
        <v>3.3607843137254902</v>
      </c>
      <c r="AP47" s="5">
        <v>10</v>
      </c>
      <c r="AQ47" s="5" t="s">
        <v>317</v>
      </c>
      <c r="AR47" s="4" t="s">
        <v>94</v>
      </c>
      <c r="AS47" s="6">
        <v>129</v>
      </c>
      <c r="AT47" s="6">
        <v>160</v>
      </c>
      <c r="AU47" s="6">
        <v>139</v>
      </c>
      <c r="AV47" s="11">
        <f>AVERAGE(Table7[[#This Row],[23 Pts]:[25 Proj]])</f>
        <v>142.66666666666666</v>
      </c>
      <c r="AW47" s="20">
        <f>Table7[[#This Row],[Avg]]/17</f>
        <v>8.3921568627450966</v>
      </c>
    </row>
    <row r="48" spans="2:49" x14ac:dyDescent="0.35">
      <c r="B48" s="8">
        <v>46</v>
      </c>
      <c r="C48" s="8" t="s">
        <v>169</v>
      </c>
      <c r="D48" s="9" t="s">
        <v>40</v>
      </c>
      <c r="E48" s="10">
        <v>3.06</v>
      </c>
      <c r="F48" s="10">
        <v>51.8</v>
      </c>
      <c r="G48" s="10">
        <v>20.59</v>
      </c>
      <c r="H48" s="10">
        <f>AVERAGE(Table1[[#This Row],[23 Pts]:[25 Proj]])</f>
        <v>25.150000000000002</v>
      </c>
      <c r="I48" s="20">
        <f>Table1[[#This Row],[Avg]]/17</f>
        <v>1.4794117647058824</v>
      </c>
      <c r="J48" s="8"/>
      <c r="L48" s="17">
        <v>35</v>
      </c>
      <c r="M48" s="5" t="s">
        <v>115</v>
      </c>
      <c r="N48" s="4" t="s">
        <v>83</v>
      </c>
      <c r="O48" s="11">
        <v>145.69999999999999</v>
      </c>
      <c r="P48" s="11">
        <v>175.9</v>
      </c>
      <c r="Q48" s="10">
        <v>132.4</v>
      </c>
      <c r="R48" s="26">
        <f>AVERAGE(Table2[[#This Row],[23 Pts]:[25 Proj]])</f>
        <v>151.33333333333334</v>
      </c>
      <c r="S48" s="20">
        <f>Table2[[#This Row],[Avg]]/17</f>
        <v>8.9019607843137258</v>
      </c>
      <c r="V48" s="15">
        <v>39</v>
      </c>
      <c r="W48" s="5" t="s">
        <v>363</v>
      </c>
      <c r="X48" s="4" t="s">
        <v>42</v>
      </c>
      <c r="Y48" s="11">
        <v>209.2</v>
      </c>
      <c r="Z48" s="11">
        <v>137.80000000000001</v>
      </c>
      <c r="AA48" s="10">
        <v>185.5</v>
      </c>
      <c r="AB48" s="10">
        <f>AVERAGE(Table3[[#This Row],[23 Pts]:[25 Proj]])</f>
        <v>177.5</v>
      </c>
      <c r="AC48" s="20">
        <f>Table3[[#This Row],[Avg]]/17</f>
        <v>10.441176470588236</v>
      </c>
      <c r="AF48" s="15">
        <v>46</v>
      </c>
      <c r="AG48" s="5" t="s">
        <v>265</v>
      </c>
      <c r="AH48" s="4" t="s">
        <v>38</v>
      </c>
      <c r="AI48" s="11" t="s">
        <v>60</v>
      </c>
      <c r="AJ48" s="11" t="s">
        <v>60</v>
      </c>
      <c r="AK48" s="10">
        <v>56.6</v>
      </c>
      <c r="AL48" s="10">
        <f>AVERAGE(Table4[[#This Row],[23 Pts]:[25 Proj]])</f>
        <v>56.6</v>
      </c>
      <c r="AM48" s="20">
        <f>Table4[[#This Row],[Avg]]/17</f>
        <v>3.3294117647058825</v>
      </c>
      <c r="AP48" s="5">
        <v>11</v>
      </c>
      <c r="AQ48" s="5" t="s">
        <v>325</v>
      </c>
      <c r="AR48" s="4" t="s">
        <v>85</v>
      </c>
      <c r="AS48" s="6">
        <v>158</v>
      </c>
      <c r="AT48" s="6">
        <v>140</v>
      </c>
      <c r="AU48" s="6">
        <v>130</v>
      </c>
      <c r="AV48" s="11">
        <f>AVERAGE(Table7[[#This Row],[23 Pts]:[25 Proj]])</f>
        <v>142.66666666666666</v>
      </c>
      <c r="AW48" s="20">
        <f>Table7[[#This Row],[Avg]]/17</f>
        <v>8.3921568627450966</v>
      </c>
    </row>
    <row r="49" spans="2:49" x14ac:dyDescent="0.35">
      <c r="B49" s="8">
        <v>47</v>
      </c>
      <c r="C49" s="8" t="s">
        <v>167</v>
      </c>
      <c r="D49" s="9" t="s">
        <v>34</v>
      </c>
      <c r="E49" s="10" t="s">
        <v>60</v>
      </c>
      <c r="F49" s="10" t="s">
        <v>60</v>
      </c>
      <c r="G49" s="10">
        <v>20.38</v>
      </c>
      <c r="H49" s="10">
        <f>AVERAGE(Table1[[#This Row],[23 Pts]:[25 Proj]])</f>
        <v>20.38</v>
      </c>
      <c r="I49" s="20">
        <f>Table1[[#This Row],[Avg]]/17</f>
        <v>1.1988235294117646</v>
      </c>
      <c r="J49" s="8"/>
      <c r="L49" s="15">
        <v>36</v>
      </c>
      <c r="M49" s="5" t="s">
        <v>64</v>
      </c>
      <c r="N49" s="4" t="s">
        <v>22</v>
      </c>
      <c r="O49" s="11">
        <v>213.9</v>
      </c>
      <c r="P49" s="11">
        <v>56.9</v>
      </c>
      <c r="Q49" s="10">
        <v>179.5</v>
      </c>
      <c r="R49" s="26">
        <f>AVERAGE(Table2[[#This Row],[23 Pts]:[25 Proj]])</f>
        <v>150.1</v>
      </c>
      <c r="S49" s="20">
        <f>Table2[[#This Row],[Avg]]/17</f>
        <v>8.8294117647058812</v>
      </c>
      <c r="V49" s="15">
        <v>41</v>
      </c>
      <c r="W49" s="5" t="s">
        <v>386</v>
      </c>
      <c r="X49" s="4" t="s">
        <v>104</v>
      </c>
      <c r="Y49" s="11">
        <v>231</v>
      </c>
      <c r="Z49" s="11">
        <v>139.5</v>
      </c>
      <c r="AA49" s="10">
        <v>140.4</v>
      </c>
      <c r="AB49" s="10">
        <f>AVERAGE(Table3[[#This Row],[23 Pts]:[25 Proj]])</f>
        <v>170.29999999999998</v>
      </c>
      <c r="AC49" s="20">
        <f>Table3[[#This Row],[Avg]]/17</f>
        <v>10.017647058823528</v>
      </c>
      <c r="AF49" s="15">
        <v>47</v>
      </c>
      <c r="AG49" s="5" t="s">
        <v>270</v>
      </c>
      <c r="AH49" s="4" t="s">
        <v>51</v>
      </c>
      <c r="AI49" s="11">
        <v>53.3</v>
      </c>
      <c r="AJ49" s="11">
        <v>65.8</v>
      </c>
      <c r="AK49" s="10">
        <v>45.5</v>
      </c>
      <c r="AL49" s="10">
        <f>AVERAGE(Table4[[#This Row],[23 Pts]:[25 Proj]])</f>
        <v>54.866666666666667</v>
      </c>
      <c r="AM49" s="20">
        <f>Table4[[#This Row],[Avg]]/17</f>
        <v>3.2274509803921569</v>
      </c>
      <c r="AP49" s="5">
        <v>12</v>
      </c>
      <c r="AQ49" s="5" t="s">
        <v>313</v>
      </c>
      <c r="AR49" s="4" t="s">
        <v>9</v>
      </c>
      <c r="AS49" s="6">
        <v>133</v>
      </c>
      <c r="AT49" s="6">
        <v>146</v>
      </c>
      <c r="AU49" s="6">
        <v>142</v>
      </c>
      <c r="AV49" s="11">
        <f>AVERAGE(Table7[[#This Row],[23 Pts]:[25 Proj]])</f>
        <v>140.33333333333334</v>
      </c>
      <c r="AW49" s="20">
        <f>Table7[[#This Row],[Avg]]/17</f>
        <v>8.2549019607843146</v>
      </c>
    </row>
    <row r="50" spans="2:49" x14ac:dyDescent="0.35">
      <c r="B50" s="8">
        <v>48</v>
      </c>
      <c r="C50" s="8" t="s">
        <v>168</v>
      </c>
      <c r="D50" s="9" t="s">
        <v>14</v>
      </c>
      <c r="E50" s="10" t="s">
        <v>60</v>
      </c>
      <c r="F50" s="10">
        <v>19.239999999999998</v>
      </c>
      <c r="G50" s="10">
        <v>12.98</v>
      </c>
      <c r="H50" s="10">
        <f>AVERAGE(Table1[[#This Row],[23 Pts]:[25 Proj]])</f>
        <v>16.11</v>
      </c>
      <c r="I50" s="20">
        <f>Table1[[#This Row],[Avg]]/17</f>
        <v>0.9476470588235294</v>
      </c>
      <c r="J50" s="8"/>
      <c r="L50" s="15">
        <v>37</v>
      </c>
      <c r="M50" s="5" t="s">
        <v>105</v>
      </c>
      <c r="N50" s="4" t="s">
        <v>14</v>
      </c>
      <c r="O50" s="11">
        <v>179.2</v>
      </c>
      <c r="P50" s="11">
        <v>157.9</v>
      </c>
      <c r="Q50" s="10">
        <v>106.5</v>
      </c>
      <c r="R50" s="26">
        <f>AVERAGE(Table2[[#This Row],[23 Pts]:[25 Proj]])</f>
        <v>147.86666666666667</v>
      </c>
      <c r="S50" s="20">
        <f>Table2[[#This Row],[Avg]]/17</f>
        <v>8.6980392156862756</v>
      </c>
      <c r="V50" s="15">
        <v>44</v>
      </c>
      <c r="W50" s="5" t="s">
        <v>361</v>
      </c>
      <c r="X50" s="4" t="s">
        <v>55</v>
      </c>
      <c r="Y50" s="11" t="s">
        <v>60</v>
      </c>
      <c r="Z50" s="11">
        <v>144.9</v>
      </c>
      <c r="AA50" s="10">
        <v>192.1</v>
      </c>
      <c r="AB50" s="10">
        <f>AVERAGE(Table3[[#This Row],[23 Pts]:[25 Proj]])</f>
        <v>168.5</v>
      </c>
      <c r="AC50" s="20">
        <f>Table3[[#This Row],[Avg]]/17</f>
        <v>9.9117647058823533</v>
      </c>
      <c r="AF50" s="15">
        <v>48</v>
      </c>
      <c r="AG50" s="5" t="s">
        <v>267</v>
      </c>
      <c r="AH50" s="4" t="s">
        <v>40</v>
      </c>
      <c r="AI50" s="11">
        <v>75.2</v>
      </c>
      <c r="AJ50" s="11">
        <v>11.5</v>
      </c>
      <c r="AK50" s="10">
        <v>41.7</v>
      </c>
      <c r="AL50" s="10">
        <f>AVERAGE(Table4[[#This Row],[23 Pts]:[25 Proj]])</f>
        <v>42.800000000000004</v>
      </c>
      <c r="AM50" s="20">
        <f>Table4[[#This Row],[Avg]]/17</f>
        <v>2.5176470588235298</v>
      </c>
      <c r="AP50" s="5">
        <v>13</v>
      </c>
      <c r="AQ50" s="5" t="s">
        <v>316</v>
      </c>
      <c r="AR50" s="4" t="s">
        <v>23</v>
      </c>
      <c r="AS50" s="6" t="s">
        <v>60</v>
      </c>
      <c r="AT50" s="6" t="s">
        <v>60</v>
      </c>
      <c r="AU50" s="6">
        <v>140</v>
      </c>
      <c r="AV50" s="11">
        <f>AVERAGE(Table7[[#This Row],[23 Pts]:[25 Proj]])</f>
        <v>140</v>
      </c>
      <c r="AW50" s="20">
        <f>Table7[[#This Row],[Avg]]/17</f>
        <v>8.235294117647058</v>
      </c>
    </row>
    <row r="51" spans="2:49" x14ac:dyDescent="0.35">
      <c r="B51" s="8">
        <v>49</v>
      </c>
      <c r="C51" s="8" t="s">
        <v>174</v>
      </c>
      <c r="D51" s="9" t="s">
        <v>79</v>
      </c>
      <c r="E51" s="10" t="s">
        <v>60</v>
      </c>
      <c r="F51" s="10">
        <v>13.74</v>
      </c>
      <c r="G51" s="10">
        <v>13.41</v>
      </c>
      <c r="H51" s="10">
        <f>AVERAGE(Table1[[#This Row],[23 Pts]:[25 Proj]])</f>
        <v>13.574999999999999</v>
      </c>
      <c r="I51" s="20">
        <f>Table1[[#This Row],[Avg]]/17</f>
        <v>0.79852941176470582</v>
      </c>
      <c r="J51" s="8"/>
      <c r="L51" s="17">
        <v>38</v>
      </c>
      <c r="M51" s="5" t="s">
        <v>113</v>
      </c>
      <c r="N51" s="4" t="s">
        <v>59</v>
      </c>
      <c r="O51" s="11">
        <v>185.4</v>
      </c>
      <c r="P51" s="11">
        <v>132.30000000000001</v>
      </c>
      <c r="Q51" s="10">
        <v>117.5</v>
      </c>
      <c r="R51" s="26">
        <f>AVERAGE(Table2[[#This Row],[23 Pts]:[25 Proj]])</f>
        <v>145.06666666666669</v>
      </c>
      <c r="S51" s="20">
        <f>Table2[[#This Row],[Avg]]/17</f>
        <v>8.533333333333335</v>
      </c>
      <c r="V51" s="15">
        <v>45</v>
      </c>
      <c r="W51" s="5" t="s">
        <v>378</v>
      </c>
      <c r="X51" s="4" t="s">
        <v>85</v>
      </c>
      <c r="Y51" s="11">
        <v>164.4</v>
      </c>
      <c r="Z51" s="11">
        <v>175</v>
      </c>
      <c r="AA51" s="10">
        <v>159.80000000000001</v>
      </c>
      <c r="AB51" s="10">
        <f>AVERAGE(Table3[[#This Row],[23 Pts]:[25 Proj]])</f>
        <v>166.4</v>
      </c>
      <c r="AC51" s="20">
        <f>Table3[[#This Row],[Avg]]/17</f>
        <v>9.7882352941176478</v>
      </c>
      <c r="AF51" s="15">
        <v>49</v>
      </c>
      <c r="AG51" s="5" t="s">
        <v>269</v>
      </c>
      <c r="AH51" s="4" t="s">
        <v>46</v>
      </c>
      <c r="AI51" s="11">
        <v>36.299999999999997</v>
      </c>
      <c r="AJ51" s="11">
        <v>49.2</v>
      </c>
      <c r="AK51" s="10">
        <v>36.5</v>
      </c>
      <c r="AL51" s="10">
        <f>AVERAGE(Table4[[#This Row],[23 Pts]:[25 Proj]])</f>
        <v>40.666666666666664</v>
      </c>
      <c r="AM51" s="20">
        <f>Table4[[#This Row],[Avg]]/17</f>
        <v>2.392156862745098</v>
      </c>
      <c r="AP51" s="5">
        <v>14</v>
      </c>
      <c r="AQ51" s="5" t="s">
        <v>310</v>
      </c>
      <c r="AR51" s="4" t="s">
        <v>65</v>
      </c>
      <c r="AS51" s="6">
        <v>121</v>
      </c>
      <c r="AT51" s="6">
        <v>145</v>
      </c>
      <c r="AU51" s="6">
        <v>143</v>
      </c>
      <c r="AV51" s="11">
        <f>AVERAGE(Table7[[#This Row],[23 Pts]:[25 Proj]])</f>
        <v>136.33333333333334</v>
      </c>
      <c r="AW51" s="20">
        <f>Table7[[#This Row],[Avg]]/17</f>
        <v>8.0196078431372548</v>
      </c>
    </row>
    <row r="52" spans="2:49" x14ac:dyDescent="0.35">
      <c r="B52" s="8">
        <v>50</v>
      </c>
      <c r="C52" s="8" t="s">
        <v>176</v>
      </c>
      <c r="D52" s="9" t="s">
        <v>16</v>
      </c>
      <c r="E52" s="10" t="s">
        <v>60</v>
      </c>
      <c r="F52" s="10">
        <v>2.68</v>
      </c>
      <c r="G52" s="10">
        <v>12.54</v>
      </c>
      <c r="H52" s="10">
        <f>AVERAGE(Table1[[#This Row],[23 Pts]:[25 Proj]])</f>
        <v>7.6099999999999994</v>
      </c>
      <c r="I52" s="20">
        <f>Table1[[#This Row],[Avg]]/17</f>
        <v>0.4476470588235294</v>
      </c>
      <c r="J52" s="8"/>
      <c r="L52" s="15">
        <v>39</v>
      </c>
      <c r="M52" s="12" t="s">
        <v>109</v>
      </c>
      <c r="N52" s="13" t="s">
        <v>34</v>
      </c>
      <c r="O52" s="14">
        <v>211.2</v>
      </c>
      <c r="P52" s="14">
        <v>134</v>
      </c>
      <c r="Q52" s="10">
        <v>89.6</v>
      </c>
      <c r="R52" s="26">
        <f>AVERAGE(Table2[[#This Row],[23 Pts]:[25 Proj]])</f>
        <v>144.93333333333331</v>
      </c>
      <c r="S52" s="20">
        <f>Table2[[#This Row],[Avg]]/17</f>
        <v>8.5254901960784295</v>
      </c>
      <c r="V52" s="15">
        <v>46</v>
      </c>
      <c r="W52" s="12" t="s">
        <v>105</v>
      </c>
      <c r="X52" s="13" t="s">
        <v>16</v>
      </c>
      <c r="Y52" s="14">
        <v>80.3</v>
      </c>
      <c r="Z52" s="14">
        <v>212.2</v>
      </c>
      <c r="AA52" s="10">
        <v>200.4</v>
      </c>
      <c r="AB52" s="10">
        <f>AVERAGE(Table3[[#This Row],[23 Pts]:[25 Proj]])</f>
        <v>164.29999999999998</v>
      </c>
      <c r="AC52" s="20">
        <f>Table3[[#This Row],[Avg]]/17</f>
        <v>9.6647058823529406</v>
      </c>
      <c r="AF52" s="15">
        <v>50</v>
      </c>
      <c r="AG52" s="12" t="s">
        <v>263</v>
      </c>
      <c r="AH52" s="13" t="s">
        <v>59</v>
      </c>
      <c r="AI52" s="14" t="s">
        <v>60</v>
      </c>
      <c r="AJ52" s="14">
        <v>13.8</v>
      </c>
      <c r="AK52" s="10">
        <v>58</v>
      </c>
      <c r="AL52" s="10">
        <f>AVERAGE(Table4[[#This Row],[23 Pts]:[25 Proj]])</f>
        <v>35.9</v>
      </c>
      <c r="AM52" s="20">
        <f>Table4[[#This Row],[Avg]]/17</f>
        <v>2.111764705882353</v>
      </c>
      <c r="AP52" s="5">
        <v>15</v>
      </c>
      <c r="AQ52" s="5" t="s">
        <v>314</v>
      </c>
      <c r="AR52" s="4" t="s">
        <v>51</v>
      </c>
      <c r="AS52" s="6" t="s">
        <v>60</v>
      </c>
      <c r="AT52" s="6">
        <v>131</v>
      </c>
      <c r="AU52" s="6">
        <v>141</v>
      </c>
      <c r="AV52" s="11">
        <f>AVERAGE(Table7[[#This Row],[23 Pts]:[25 Proj]])</f>
        <v>136</v>
      </c>
      <c r="AW52" s="20">
        <f>Table7[[#This Row],[Avg]]/17</f>
        <v>8</v>
      </c>
    </row>
    <row r="53" spans="2:49" x14ac:dyDescent="0.35">
      <c r="L53" s="17">
        <v>41</v>
      </c>
      <c r="M53" s="12" t="s">
        <v>67</v>
      </c>
      <c r="N53" s="13" t="s">
        <v>65</v>
      </c>
      <c r="O53" s="14">
        <v>267.7</v>
      </c>
      <c r="P53" s="14">
        <v>70.900000000000006</v>
      </c>
      <c r="Q53" s="10">
        <v>71.900000000000006</v>
      </c>
      <c r="R53" s="26">
        <f>AVERAGE(Table2[[#This Row],[23 Pts]:[25 Proj]])</f>
        <v>136.83333333333334</v>
      </c>
      <c r="S53" s="20">
        <f>Table2[[#This Row],[Avg]]/17</f>
        <v>8.0490196078431371</v>
      </c>
      <c r="V53" s="15">
        <v>47</v>
      </c>
      <c r="W53" s="12" t="s">
        <v>365</v>
      </c>
      <c r="X53" s="13" t="s">
        <v>62</v>
      </c>
      <c r="Y53" s="14">
        <v>231.3</v>
      </c>
      <c r="Z53" s="14">
        <v>76.7</v>
      </c>
      <c r="AA53" s="10">
        <v>180.6</v>
      </c>
      <c r="AB53" s="10">
        <f>AVERAGE(Table3[[#This Row],[23 Pts]:[25 Proj]])</f>
        <v>162.86666666666667</v>
      </c>
      <c r="AC53" s="20">
        <f>Table3[[#This Row],[Avg]]/17</f>
        <v>9.5803921568627448</v>
      </c>
      <c r="AP53" s="5">
        <v>16</v>
      </c>
      <c r="AQ53" s="5" t="s">
        <v>326</v>
      </c>
      <c r="AR53" s="4" t="s">
        <v>62</v>
      </c>
      <c r="AS53" s="6">
        <v>150</v>
      </c>
      <c r="AT53" s="6">
        <v>131</v>
      </c>
      <c r="AU53" s="6">
        <v>126</v>
      </c>
      <c r="AV53" s="11">
        <f>AVERAGE(Table7[[#This Row],[23 Pts]:[25 Proj]])</f>
        <v>135.66666666666666</v>
      </c>
      <c r="AW53" s="20">
        <f>Table7[[#This Row],[Avg]]/17</f>
        <v>7.9803921568627443</v>
      </c>
    </row>
    <row r="54" spans="2:49" x14ac:dyDescent="0.35">
      <c r="L54" s="15">
        <v>43</v>
      </c>
      <c r="M54" s="12" t="s">
        <v>118</v>
      </c>
      <c r="N54" s="13" t="s">
        <v>81</v>
      </c>
      <c r="O54" s="14">
        <v>153.80000000000001</v>
      </c>
      <c r="P54" s="14">
        <v>113.6</v>
      </c>
      <c r="Q54" s="10">
        <v>121.3</v>
      </c>
      <c r="R54" s="26">
        <f>AVERAGE(Table2[[#This Row],[23 Pts]:[25 Proj]])</f>
        <v>129.56666666666666</v>
      </c>
      <c r="S54" s="20">
        <f>Table2[[#This Row],[Avg]]/17</f>
        <v>7.62156862745098</v>
      </c>
      <c r="V54" s="15">
        <v>49</v>
      </c>
      <c r="W54" s="12" t="s">
        <v>72</v>
      </c>
      <c r="X54" s="13" t="s">
        <v>12</v>
      </c>
      <c r="Y54" s="14">
        <v>249.2</v>
      </c>
      <c r="Z54" s="14">
        <v>62.4</v>
      </c>
      <c r="AA54" s="10">
        <v>160.30000000000001</v>
      </c>
      <c r="AB54" s="10">
        <f>AVERAGE(Table3[[#This Row],[23 Pts]:[25 Proj]])</f>
        <v>157.29999999999998</v>
      </c>
      <c r="AC54" s="20">
        <f>Table3[[#This Row],[Avg]]/17</f>
        <v>9.2529411764705873</v>
      </c>
      <c r="AP54" s="5">
        <v>17</v>
      </c>
      <c r="AQ54" s="5" t="s">
        <v>321</v>
      </c>
      <c r="AR54" s="4" t="s">
        <v>38</v>
      </c>
      <c r="AS54" s="6" t="s">
        <v>60</v>
      </c>
      <c r="AT54" s="6">
        <v>135</v>
      </c>
      <c r="AU54" s="6">
        <v>136</v>
      </c>
      <c r="AV54" s="11">
        <f>AVERAGE(Table7[[#This Row],[23 Pts]:[25 Proj]])</f>
        <v>135.5</v>
      </c>
      <c r="AW54" s="20">
        <f>Table7[[#This Row],[Avg]]/17</f>
        <v>7.9705882352941178</v>
      </c>
    </row>
    <row r="55" spans="2:49" x14ac:dyDescent="0.35">
      <c r="L55" s="15">
        <v>45</v>
      </c>
      <c r="M55" s="12" t="s">
        <v>187</v>
      </c>
      <c r="N55" s="13" t="s">
        <v>27</v>
      </c>
      <c r="O55" s="14" t="s">
        <v>60</v>
      </c>
      <c r="P55" s="14">
        <v>129</v>
      </c>
      <c r="Q55" s="10">
        <v>108.7</v>
      </c>
      <c r="R55" s="26">
        <f>AVERAGE(Table2[[#This Row],[23 Pts]:[25 Proj]])</f>
        <v>118.85</v>
      </c>
      <c r="S55" s="20">
        <f>Table2[[#This Row],[Avg]]/17</f>
        <v>6.9911764705882353</v>
      </c>
      <c r="V55" s="15">
        <v>50</v>
      </c>
      <c r="W55" s="12" t="s">
        <v>371</v>
      </c>
      <c r="X55" s="13" t="s">
        <v>9</v>
      </c>
      <c r="Y55" s="14">
        <v>113.1</v>
      </c>
      <c r="Z55" s="14">
        <v>182.5</v>
      </c>
      <c r="AA55" s="10">
        <v>172.6</v>
      </c>
      <c r="AB55" s="10">
        <f>AVERAGE(Table3[[#This Row],[23 Pts]:[25 Proj]])</f>
        <v>156.06666666666669</v>
      </c>
      <c r="AC55" s="20">
        <f>Table3[[#This Row],[Avg]]/17</f>
        <v>9.1803921568627462</v>
      </c>
      <c r="AP55" s="5">
        <v>18</v>
      </c>
      <c r="AQ55" s="5" t="s">
        <v>307</v>
      </c>
      <c r="AR55" s="4" t="s">
        <v>22</v>
      </c>
      <c r="AS55" s="6">
        <v>154</v>
      </c>
      <c r="AT55" s="6">
        <v>100</v>
      </c>
      <c r="AU55" s="6">
        <v>146</v>
      </c>
      <c r="AV55" s="11">
        <f>AVERAGE(Table7[[#This Row],[23 Pts]:[25 Proj]])</f>
        <v>133.33333333333334</v>
      </c>
      <c r="AW55" s="20">
        <f>Table7[[#This Row],[Avg]]/17</f>
        <v>7.8431372549019613</v>
      </c>
    </row>
    <row r="56" spans="2:49" x14ac:dyDescent="0.35">
      <c r="L56" s="15">
        <v>46</v>
      </c>
      <c r="M56" s="12" t="s">
        <v>120</v>
      </c>
      <c r="N56" s="13" t="s">
        <v>31</v>
      </c>
      <c r="O56" s="14">
        <v>137.6</v>
      </c>
      <c r="P56" s="14">
        <v>106.2</v>
      </c>
      <c r="Q56" s="10">
        <v>104.2</v>
      </c>
      <c r="R56" s="26">
        <f>AVERAGE(Table2[[#This Row],[23 Pts]:[25 Proj]])</f>
        <v>116</v>
      </c>
      <c r="S56" s="20">
        <f>Table2[[#This Row],[Avg]]/17</f>
        <v>6.8235294117647056</v>
      </c>
      <c r="V56" s="15">
        <v>51</v>
      </c>
      <c r="W56" s="12" t="s">
        <v>332</v>
      </c>
      <c r="X56" s="13" t="s">
        <v>23</v>
      </c>
      <c r="Y56" s="14">
        <v>223.6</v>
      </c>
      <c r="Z56" s="14">
        <v>147</v>
      </c>
      <c r="AA56" s="10">
        <v>96.9</v>
      </c>
      <c r="AB56" s="10">
        <f>AVERAGE(Table3[[#This Row],[23 Pts]:[25 Proj]])</f>
        <v>155.83333333333334</v>
      </c>
      <c r="AC56" s="20">
        <f>Table3[[#This Row],[Avg]]/17</f>
        <v>9.1666666666666679</v>
      </c>
      <c r="AP56" s="5">
        <v>19</v>
      </c>
      <c r="AQ56" s="5" t="s">
        <v>324</v>
      </c>
      <c r="AR56" s="4" t="s">
        <v>55</v>
      </c>
      <c r="AS56" s="6">
        <v>158</v>
      </c>
      <c r="AT56" s="6">
        <v>109</v>
      </c>
      <c r="AU56" s="6">
        <v>132</v>
      </c>
      <c r="AV56" s="11">
        <f>AVERAGE(Table7[[#This Row],[23 Pts]:[25 Proj]])</f>
        <v>133</v>
      </c>
      <c r="AW56" s="20">
        <f>Table7[[#This Row],[Avg]]/17</f>
        <v>7.8235294117647056</v>
      </c>
    </row>
    <row r="57" spans="2:49" x14ac:dyDescent="0.35">
      <c r="L57" s="15">
        <v>48</v>
      </c>
      <c r="M57" s="12" t="s">
        <v>138</v>
      </c>
      <c r="N57" s="13" t="s">
        <v>94</v>
      </c>
      <c r="O57" s="14">
        <v>11.7</v>
      </c>
      <c r="P57" s="14">
        <v>191.8</v>
      </c>
      <c r="Q57" s="10">
        <v>132.69999999999999</v>
      </c>
      <c r="R57" s="26">
        <f>AVERAGE(Table2[[#This Row],[23 Pts]:[25 Proj]])</f>
        <v>112.06666666666666</v>
      </c>
      <c r="S57" s="20">
        <f>Table2[[#This Row],[Avg]]/17</f>
        <v>6.5921568627450977</v>
      </c>
      <c r="V57" s="15">
        <v>54</v>
      </c>
      <c r="W57" s="12" t="s">
        <v>360</v>
      </c>
      <c r="X57" s="13" t="s">
        <v>12</v>
      </c>
      <c r="Y57" s="14">
        <v>51.5</v>
      </c>
      <c r="Z57" s="14">
        <v>210.5</v>
      </c>
      <c r="AA57" s="10">
        <v>193.1</v>
      </c>
      <c r="AB57" s="10">
        <f>AVERAGE(Table3[[#This Row],[23 Pts]:[25 Proj]])</f>
        <v>151.70000000000002</v>
      </c>
      <c r="AC57" s="20">
        <f>Table3[[#This Row],[Avg]]/17</f>
        <v>8.9235294117647062</v>
      </c>
      <c r="AP57" s="5">
        <v>20</v>
      </c>
      <c r="AQ57" s="5" t="s">
        <v>320</v>
      </c>
      <c r="AR57" s="4" t="s">
        <v>31</v>
      </c>
      <c r="AS57" s="6">
        <v>138</v>
      </c>
      <c r="AT57" s="6">
        <v>120</v>
      </c>
      <c r="AU57" s="6">
        <v>137</v>
      </c>
      <c r="AV57" s="11">
        <f>AVERAGE(Table7[[#This Row],[23 Pts]:[25 Proj]])</f>
        <v>131.66666666666666</v>
      </c>
      <c r="AW57" s="20">
        <f>Table7[[#This Row],[Avg]]/17</f>
        <v>7.7450980392156854</v>
      </c>
    </row>
    <row r="58" spans="2:49" x14ac:dyDescent="0.35">
      <c r="L58" s="15">
        <v>49</v>
      </c>
      <c r="M58" s="12" t="s">
        <v>200</v>
      </c>
      <c r="N58" s="13" t="s">
        <v>22</v>
      </c>
      <c r="O58" s="14">
        <v>118.5</v>
      </c>
      <c r="P58" s="14">
        <v>155.4</v>
      </c>
      <c r="Q58" s="10">
        <v>60.6</v>
      </c>
      <c r="R58" s="26">
        <f>AVERAGE(Table2[[#This Row],[23 Pts]:[25 Proj]])</f>
        <v>111.5</v>
      </c>
      <c r="S58" s="20">
        <f>Table2[[#This Row],[Avg]]/17</f>
        <v>6.5588235294117645</v>
      </c>
      <c r="V58" s="15">
        <v>55</v>
      </c>
      <c r="W58" s="12" t="s">
        <v>390</v>
      </c>
      <c r="X58" s="13" t="s">
        <v>87</v>
      </c>
      <c r="Y58" s="14">
        <v>133.19999999999999</v>
      </c>
      <c r="Z58" s="14">
        <v>182.7</v>
      </c>
      <c r="AA58" s="10">
        <v>127.8</v>
      </c>
      <c r="AB58" s="10">
        <f>AVERAGE(Table3[[#This Row],[23 Pts]:[25 Proj]])</f>
        <v>147.9</v>
      </c>
      <c r="AC58" s="20">
        <f>Table3[[#This Row],[Avg]]/17</f>
        <v>8.7000000000000011</v>
      </c>
      <c r="AP58" s="5">
        <v>21</v>
      </c>
      <c r="AQ58" s="5" t="s">
        <v>322</v>
      </c>
      <c r="AR58" s="4" t="s">
        <v>27</v>
      </c>
      <c r="AS58" s="6" t="s">
        <v>60</v>
      </c>
      <c r="AT58" s="6">
        <v>126</v>
      </c>
      <c r="AU58" s="6">
        <v>135</v>
      </c>
      <c r="AV58" s="11">
        <f>AVERAGE(Table7[[#This Row],[23 Pts]:[25 Proj]])</f>
        <v>130.5</v>
      </c>
      <c r="AW58" s="20">
        <f>Table7[[#This Row],[Avg]]/17</f>
        <v>7.6764705882352944</v>
      </c>
    </row>
    <row r="59" spans="2:49" x14ac:dyDescent="0.35">
      <c r="L59" s="15">
        <v>51</v>
      </c>
      <c r="M59" s="12" t="s">
        <v>191</v>
      </c>
      <c r="N59" s="13" t="s">
        <v>23</v>
      </c>
      <c r="O59" s="14">
        <v>109.3</v>
      </c>
      <c r="P59" s="14">
        <v>127.1</v>
      </c>
      <c r="Q59" s="10">
        <v>89.9</v>
      </c>
      <c r="R59" s="26">
        <f>AVERAGE(Table2[[#This Row],[23 Pts]:[25 Proj]])</f>
        <v>108.76666666666665</v>
      </c>
      <c r="S59" s="20">
        <f>Table2[[#This Row],[Avg]]/17</f>
        <v>6.398039215686274</v>
      </c>
      <c r="V59" s="15">
        <v>56</v>
      </c>
      <c r="W59" s="12" t="s">
        <v>409</v>
      </c>
      <c r="X59" s="13" t="s">
        <v>9</v>
      </c>
      <c r="Y59" s="14">
        <v>227</v>
      </c>
      <c r="Z59" s="14">
        <v>122.7</v>
      </c>
      <c r="AA59" s="10">
        <v>93.6</v>
      </c>
      <c r="AB59" s="10">
        <f>AVERAGE(Table3[[#This Row],[23 Pts]:[25 Proj]])</f>
        <v>147.76666666666665</v>
      </c>
      <c r="AC59" s="20">
        <f>Table3[[#This Row],[Avg]]/17</f>
        <v>8.6921568627450974</v>
      </c>
      <c r="AP59" s="5">
        <v>22</v>
      </c>
      <c r="AQ59" s="5" t="s">
        <v>319</v>
      </c>
      <c r="AR59" s="4" t="s">
        <v>12</v>
      </c>
      <c r="AS59" s="6">
        <v>131</v>
      </c>
      <c r="AT59" s="6">
        <v>118</v>
      </c>
      <c r="AU59" s="6">
        <v>138</v>
      </c>
      <c r="AV59" s="11">
        <f>AVERAGE(Table7[[#This Row],[23 Pts]:[25 Proj]])</f>
        <v>129</v>
      </c>
      <c r="AW59" s="20">
        <f>Table7[[#This Row],[Avg]]/17</f>
        <v>7.5882352941176467</v>
      </c>
    </row>
    <row r="60" spans="2:49" x14ac:dyDescent="0.35">
      <c r="L60" s="15">
        <v>52</v>
      </c>
      <c r="M60" s="12" t="s">
        <v>110</v>
      </c>
      <c r="N60" s="13" t="s">
        <v>44</v>
      </c>
      <c r="O60" s="14">
        <v>169.6</v>
      </c>
      <c r="P60" s="14">
        <v>81.900000000000006</v>
      </c>
      <c r="Q60" s="10">
        <v>64.5</v>
      </c>
      <c r="R60" s="26">
        <f>AVERAGE(Table2[[#This Row],[23 Pts]:[25 Proj]])</f>
        <v>105.33333333333333</v>
      </c>
      <c r="S60" s="20">
        <f>Table2[[#This Row],[Avg]]/17</f>
        <v>6.1960784313725483</v>
      </c>
      <c r="V60" s="15">
        <v>57</v>
      </c>
      <c r="W60" s="12" t="s">
        <v>384</v>
      </c>
      <c r="X60" s="13" t="s">
        <v>55</v>
      </c>
      <c r="Y60" s="14" t="s">
        <v>60</v>
      </c>
      <c r="Z60" s="14" t="s">
        <v>60</v>
      </c>
      <c r="AA60" s="10">
        <v>145.80000000000001</v>
      </c>
      <c r="AB60" s="10">
        <f>AVERAGE(Table3[[#This Row],[23 Pts]:[25 Proj]])</f>
        <v>145.80000000000001</v>
      </c>
      <c r="AC60" s="20">
        <f>Table3[[#This Row],[Avg]]/17</f>
        <v>8.5764705882352956</v>
      </c>
      <c r="AP60" s="5">
        <v>23</v>
      </c>
      <c r="AQ60" s="5" t="s">
        <v>318</v>
      </c>
      <c r="AR60" s="4" t="s">
        <v>40</v>
      </c>
      <c r="AS60" s="6">
        <v>146</v>
      </c>
      <c r="AT60" s="6">
        <v>99</v>
      </c>
      <c r="AU60" s="6">
        <v>138</v>
      </c>
      <c r="AV60" s="11">
        <f>AVERAGE(Table7[[#This Row],[23 Pts]:[25 Proj]])</f>
        <v>127.66666666666667</v>
      </c>
      <c r="AW60" s="20">
        <f>Table7[[#This Row],[Avg]]/17</f>
        <v>7.5098039215686274</v>
      </c>
    </row>
    <row r="61" spans="2:49" x14ac:dyDescent="0.35">
      <c r="L61" s="17">
        <v>53</v>
      </c>
      <c r="M61" s="12" t="s">
        <v>107</v>
      </c>
      <c r="N61" s="13" t="s">
        <v>87</v>
      </c>
      <c r="O61" s="14">
        <v>167.34</v>
      </c>
      <c r="P61" s="14">
        <v>96.6</v>
      </c>
      <c r="Q61" s="10">
        <v>51.5</v>
      </c>
      <c r="R61" s="26">
        <f>AVERAGE(Table2[[#This Row],[23 Pts]:[25 Proj]])</f>
        <v>105.14666666666666</v>
      </c>
      <c r="S61" s="20">
        <f>Table2[[#This Row],[Avg]]/17</f>
        <v>6.1850980392156858</v>
      </c>
      <c r="V61" s="15">
        <v>59</v>
      </c>
      <c r="W61" s="12" t="s">
        <v>396</v>
      </c>
      <c r="X61" s="13" t="s">
        <v>40</v>
      </c>
      <c r="Y61" s="14">
        <v>174.4</v>
      </c>
      <c r="Z61" s="14">
        <v>132.1</v>
      </c>
      <c r="AA61" s="10">
        <v>109.8</v>
      </c>
      <c r="AB61" s="10">
        <f>AVERAGE(Table3[[#This Row],[23 Pts]:[25 Proj]])</f>
        <v>138.76666666666668</v>
      </c>
      <c r="AC61" s="20">
        <f>Table3[[#This Row],[Avg]]/17</f>
        <v>8.1627450980392169</v>
      </c>
      <c r="AP61" s="5">
        <v>24</v>
      </c>
      <c r="AQ61" s="5" t="s">
        <v>312</v>
      </c>
      <c r="AR61" s="4" t="s">
        <v>44</v>
      </c>
      <c r="AS61" s="6">
        <v>140</v>
      </c>
      <c r="AT61" s="6">
        <v>94</v>
      </c>
      <c r="AU61" s="6">
        <v>142</v>
      </c>
      <c r="AV61" s="11">
        <f>AVERAGE(Table7[[#This Row],[23 Pts]:[25 Proj]])</f>
        <v>125.33333333333333</v>
      </c>
      <c r="AW61" s="20">
        <f>Table7[[#This Row],[Avg]]/17</f>
        <v>7.3725490196078427</v>
      </c>
    </row>
    <row r="62" spans="2:49" x14ac:dyDescent="0.35">
      <c r="L62" s="15">
        <v>54</v>
      </c>
      <c r="M62" s="12" t="s">
        <v>223</v>
      </c>
      <c r="N62" s="13" t="s">
        <v>21</v>
      </c>
      <c r="O62" s="14">
        <v>133.19999999999999</v>
      </c>
      <c r="P62" s="14">
        <v>137.4</v>
      </c>
      <c r="Q62" s="10">
        <v>32.200000000000003</v>
      </c>
      <c r="R62" s="26">
        <f>AVERAGE(Table2[[#This Row],[23 Pts]:[25 Proj]])</f>
        <v>100.93333333333334</v>
      </c>
      <c r="S62" s="20">
        <f>Table2[[#This Row],[Avg]]/17</f>
        <v>5.9372549019607845</v>
      </c>
      <c r="V62" s="15">
        <v>60</v>
      </c>
      <c r="W62" s="12" t="s">
        <v>370</v>
      </c>
      <c r="X62" s="13" t="s">
        <v>62</v>
      </c>
      <c r="Y62" s="14">
        <v>155.6</v>
      </c>
      <c r="Z62" s="14">
        <v>79.8</v>
      </c>
      <c r="AA62" s="10">
        <v>173.4</v>
      </c>
      <c r="AB62" s="10">
        <f>AVERAGE(Table3[[#This Row],[23 Pts]:[25 Proj]])</f>
        <v>136.26666666666665</v>
      </c>
      <c r="AC62" s="20">
        <f>Table3[[#This Row],[Avg]]/17</f>
        <v>8.0156862745098039</v>
      </c>
      <c r="AP62" s="5">
        <v>25</v>
      </c>
      <c r="AQ62" s="5" t="s">
        <v>333</v>
      </c>
      <c r="AR62" s="4" t="s">
        <v>83</v>
      </c>
      <c r="AS62" s="6" t="s">
        <v>60</v>
      </c>
      <c r="AT62" s="6" t="s">
        <v>60</v>
      </c>
      <c r="AU62" s="6">
        <v>124</v>
      </c>
      <c r="AV62" s="11">
        <f>AVERAGE(Table7[[#This Row],[23 Pts]:[25 Proj]])</f>
        <v>124</v>
      </c>
      <c r="AW62" s="20">
        <f>Table7[[#This Row],[Avg]]/17</f>
        <v>7.2941176470588234</v>
      </c>
    </row>
    <row r="63" spans="2:49" x14ac:dyDescent="0.35">
      <c r="L63" s="17">
        <v>56</v>
      </c>
      <c r="M63" s="12" t="s">
        <v>123</v>
      </c>
      <c r="N63" s="13" t="s">
        <v>83</v>
      </c>
      <c r="O63" s="14">
        <v>127.4</v>
      </c>
      <c r="P63" s="14">
        <v>103.4</v>
      </c>
      <c r="Q63" s="10">
        <v>52.3</v>
      </c>
      <c r="R63" s="26">
        <f>AVERAGE(Table2[[#This Row],[23 Pts]:[25 Proj]])</f>
        <v>94.366666666666674</v>
      </c>
      <c r="S63" s="20">
        <f>Table2[[#This Row],[Avg]]/17</f>
        <v>5.5509803921568635</v>
      </c>
      <c r="V63" s="15">
        <v>61</v>
      </c>
      <c r="W63" s="12" t="s">
        <v>422</v>
      </c>
      <c r="X63" s="13" t="s">
        <v>81</v>
      </c>
      <c r="Y63" s="14">
        <v>202.4</v>
      </c>
      <c r="Z63" s="14">
        <v>121</v>
      </c>
      <c r="AA63" s="10">
        <v>79.400000000000006</v>
      </c>
      <c r="AB63" s="10">
        <f>AVERAGE(Table3[[#This Row],[23 Pts]:[25 Proj]])</f>
        <v>134.26666666666665</v>
      </c>
      <c r="AC63" s="20">
        <f>Table3[[#This Row],[Avg]]/17</f>
        <v>7.898039215686274</v>
      </c>
      <c r="AP63" s="5">
        <v>26</v>
      </c>
      <c r="AQ63" s="5" t="s">
        <v>328</v>
      </c>
      <c r="AR63" s="4" t="s">
        <v>20</v>
      </c>
      <c r="AS63" s="6">
        <v>131</v>
      </c>
      <c r="AT63" s="6">
        <v>108</v>
      </c>
      <c r="AU63" s="6">
        <v>125</v>
      </c>
      <c r="AV63" s="11">
        <f>AVERAGE(Table7[[#This Row],[23 Pts]:[25 Proj]])</f>
        <v>121.33333333333333</v>
      </c>
      <c r="AW63" s="20">
        <f>Table7[[#This Row],[Avg]]/17</f>
        <v>7.1372549019607838</v>
      </c>
    </row>
    <row r="64" spans="2:49" x14ac:dyDescent="0.35">
      <c r="L64" s="15">
        <v>57</v>
      </c>
      <c r="M64" s="12" t="s">
        <v>190</v>
      </c>
      <c r="N64" s="13" t="s">
        <v>12</v>
      </c>
      <c r="O64" s="14" t="s">
        <v>60</v>
      </c>
      <c r="P64" s="14">
        <v>94.2</v>
      </c>
      <c r="Q64" s="10">
        <v>92.5</v>
      </c>
      <c r="R64" s="26">
        <f>AVERAGE(Table2[[#This Row],[23 Pts]:[25 Proj]])</f>
        <v>93.35</v>
      </c>
      <c r="S64" s="20">
        <f>Table2[[#This Row],[Avg]]/17</f>
        <v>5.4911764705882353</v>
      </c>
      <c r="V64" s="15">
        <v>62</v>
      </c>
      <c r="W64" s="12" t="s">
        <v>399</v>
      </c>
      <c r="X64" s="13" t="s">
        <v>79</v>
      </c>
      <c r="Y64" s="14">
        <v>94</v>
      </c>
      <c r="Z64" s="14">
        <v>174.7</v>
      </c>
      <c r="AA64" s="10">
        <v>132.6</v>
      </c>
      <c r="AB64" s="10">
        <f>AVERAGE(Table3[[#This Row],[23 Pts]:[25 Proj]])</f>
        <v>133.76666666666665</v>
      </c>
      <c r="AC64" s="20">
        <f>Table3[[#This Row],[Avg]]/17</f>
        <v>7.8686274509803908</v>
      </c>
      <c r="AP64" s="5">
        <v>27</v>
      </c>
      <c r="AQ64" s="5" t="s">
        <v>332</v>
      </c>
      <c r="AR64" s="4" t="s">
        <v>34</v>
      </c>
      <c r="AS64" s="6">
        <v>149</v>
      </c>
      <c r="AT64" s="6">
        <v>84</v>
      </c>
      <c r="AU64" s="6">
        <v>117</v>
      </c>
      <c r="AV64" s="11">
        <f>AVERAGE(Table7[[#This Row],[23 Pts]:[25 Proj]])</f>
        <v>116.66666666666667</v>
      </c>
      <c r="AW64" s="20">
        <f>Table7[[#This Row],[Avg]]/17</f>
        <v>6.8627450980392162</v>
      </c>
    </row>
    <row r="65" spans="12:49" x14ac:dyDescent="0.35">
      <c r="L65" s="15">
        <v>58</v>
      </c>
      <c r="M65" s="12" t="s">
        <v>127</v>
      </c>
      <c r="N65" s="13" t="s">
        <v>94</v>
      </c>
      <c r="O65" s="14">
        <v>106</v>
      </c>
      <c r="P65" s="14">
        <v>97.2</v>
      </c>
      <c r="Q65" s="10">
        <v>59.3</v>
      </c>
      <c r="R65" s="26">
        <f>AVERAGE(Table2[[#This Row],[23 Pts]:[25 Proj]])</f>
        <v>87.5</v>
      </c>
      <c r="S65" s="20">
        <f>Table2[[#This Row],[Avg]]/17</f>
        <v>5.1470588235294121</v>
      </c>
      <c r="V65" s="15">
        <v>63</v>
      </c>
      <c r="W65" s="12" t="s">
        <v>368</v>
      </c>
      <c r="X65" s="13" t="s">
        <v>12</v>
      </c>
      <c r="Y65" s="14" t="s">
        <v>60</v>
      </c>
      <c r="Z65" s="14">
        <v>93.5</v>
      </c>
      <c r="AA65" s="10">
        <v>173.9</v>
      </c>
      <c r="AB65" s="10">
        <f>AVERAGE(Table3[[#This Row],[23 Pts]:[25 Proj]])</f>
        <v>133.69999999999999</v>
      </c>
      <c r="AC65" s="20">
        <f>Table3[[#This Row],[Avg]]/17</f>
        <v>7.8647058823529408</v>
      </c>
      <c r="AP65" s="5">
        <v>28</v>
      </c>
      <c r="AQ65" s="5" t="s">
        <v>330</v>
      </c>
      <c r="AR65" s="4" t="s">
        <v>81</v>
      </c>
      <c r="AS65" s="6">
        <v>102</v>
      </c>
      <c r="AT65" s="6">
        <v>120</v>
      </c>
      <c r="AU65" s="6">
        <v>121</v>
      </c>
      <c r="AV65" s="11">
        <f>AVERAGE(Table7[[#This Row],[23 Pts]:[25 Proj]])</f>
        <v>114.33333333333333</v>
      </c>
      <c r="AW65" s="20">
        <f>Table7[[#This Row],[Avg]]/17</f>
        <v>6.7254901960784315</v>
      </c>
    </row>
    <row r="66" spans="12:49" x14ac:dyDescent="0.35">
      <c r="L66" s="17">
        <v>59</v>
      </c>
      <c r="M66" s="12" t="s">
        <v>192</v>
      </c>
      <c r="N66" s="13" t="s">
        <v>55</v>
      </c>
      <c r="O66" s="14">
        <v>102.1</v>
      </c>
      <c r="P66" s="14">
        <v>77.400000000000006</v>
      </c>
      <c r="Q66" s="10">
        <v>82.6</v>
      </c>
      <c r="R66" s="26">
        <f>AVERAGE(Table2[[#This Row],[23 Pts]:[25 Proj]])</f>
        <v>87.366666666666674</v>
      </c>
      <c r="S66" s="20">
        <f>Table2[[#This Row],[Avg]]/17</f>
        <v>5.1392156862745102</v>
      </c>
      <c r="V66" s="15">
        <v>64</v>
      </c>
      <c r="W66" s="12" t="s">
        <v>389</v>
      </c>
      <c r="X66" s="13" t="s">
        <v>65</v>
      </c>
      <c r="Y66" s="14" t="s">
        <v>60</v>
      </c>
      <c r="Z66" s="14" t="s">
        <v>60</v>
      </c>
      <c r="AA66" s="10">
        <v>133</v>
      </c>
      <c r="AB66" s="10">
        <f>AVERAGE(Table3[[#This Row],[23 Pts]:[25 Proj]])</f>
        <v>133</v>
      </c>
      <c r="AC66" s="20">
        <f>Table3[[#This Row],[Avg]]/17</f>
        <v>7.8235294117647056</v>
      </c>
      <c r="AP66" s="5">
        <v>29</v>
      </c>
      <c r="AQ66" s="5" t="s">
        <v>323</v>
      </c>
      <c r="AR66" s="4" t="s">
        <v>46</v>
      </c>
      <c r="AS66" s="6">
        <v>81</v>
      </c>
      <c r="AT66" s="6">
        <v>125</v>
      </c>
      <c r="AU66" s="6">
        <v>133</v>
      </c>
      <c r="AV66" s="11">
        <f>AVERAGE(Table7[[#This Row],[23 Pts]:[25 Proj]])</f>
        <v>113</v>
      </c>
      <c r="AW66" s="20">
        <f>Table7[[#This Row],[Avg]]/17</f>
        <v>6.6470588235294121</v>
      </c>
    </row>
    <row r="67" spans="12:49" x14ac:dyDescent="0.35">
      <c r="L67" s="15">
        <v>60</v>
      </c>
      <c r="M67" s="12" t="s">
        <v>133</v>
      </c>
      <c r="N67" s="13" t="s">
        <v>44</v>
      </c>
      <c r="O67" s="14">
        <v>121.3</v>
      </c>
      <c r="P67" s="14">
        <v>81.400000000000006</v>
      </c>
      <c r="Q67" s="10">
        <v>50.4</v>
      </c>
      <c r="R67" s="26">
        <f>AVERAGE(Table2[[#This Row],[23 Pts]:[25 Proj]])</f>
        <v>84.36666666666666</v>
      </c>
      <c r="S67" s="20">
        <f>Table2[[#This Row],[Avg]]/17</f>
        <v>4.9627450980392149</v>
      </c>
      <c r="V67" s="15">
        <v>65</v>
      </c>
      <c r="W67" s="12" t="s">
        <v>37</v>
      </c>
      <c r="X67" s="13" t="s">
        <v>83</v>
      </c>
      <c r="Y67" s="14" t="s">
        <v>60</v>
      </c>
      <c r="Z67" s="14" t="s">
        <v>60</v>
      </c>
      <c r="AA67" s="10">
        <v>132.69999999999999</v>
      </c>
      <c r="AB67" s="10">
        <f>AVERAGE(Table3[[#This Row],[23 Pts]:[25 Proj]])</f>
        <v>132.69999999999999</v>
      </c>
      <c r="AC67" s="20">
        <f>Table3[[#This Row],[Avg]]/17</f>
        <v>7.8058823529411754</v>
      </c>
      <c r="AP67" s="5">
        <v>30</v>
      </c>
      <c r="AQ67" s="5" t="s">
        <v>329</v>
      </c>
      <c r="AR67" s="4" t="s">
        <v>104</v>
      </c>
      <c r="AS67" s="6" t="s">
        <v>60</v>
      </c>
      <c r="AT67" s="6">
        <v>56</v>
      </c>
      <c r="AU67" s="6">
        <v>124</v>
      </c>
      <c r="AV67" s="11">
        <f>AVERAGE(Table7[[#This Row],[23 Pts]:[25 Proj]])</f>
        <v>90</v>
      </c>
      <c r="AW67" s="20">
        <f>Table7[[#This Row],[Avg]]/17</f>
        <v>5.2941176470588234</v>
      </c>
    </row>
    <row r="68" spans="12:49" x14ac:dyDescent="0.35">
      <c r="L68" s="15">
        <v>61</v>
      </c>
      <c r="M68" s="12" t="s">
        <v>195</v>
      </c>
      <c r="N68" s="13" t="s">
        <v>14</v>
      </c>
      <c r="O68" s="14">
        <v>87.6</v>
      </c>
      <c r="P68" s="14">
        <v>77.3</v>
      </c>
      <c r="Q68" s="10">
        <v>71</v>
      </c>
      <c r="R68" s="26">
        <f>AVERAGE(Table2[[#This Row],[23 Pts]:[25 Proj]])</f>
        <v>78.633333333333326</v>
      </c>
      <c r="S68" s="20">
        <f>Table2[[#This Row],[Avg]]/17</f>
        <v>4.6254901960784309</v>
      </c>
      <c r="V68" s="15">
        <v>66</v>
      </c>
      <c r="W68" s="12" t="s">
        <v>387</v>
      </c>
      <c r="X68" s="13" t="s">
        <v>83</v>
      </c>
      <c r="Y68" s="14">
        <v>107.2</v>
      </c>
      <c r="Z68" s="14">
        <v>147.69999999999999</v>
      </c>
      <c r="AA68" s="10">
        <v>140.19999999999999</v>
      </c>
      <c r="AB68" s="10">
        <f>AVERAGE(Table3[[#This Row],[23 Pts]:[25 Proj]])</f>
        <v>131.69999999999999</v>
      </c>
      <c r="AC68" s="20">
        <f>Table3[[#This Row],[Avg]]/17</f>
        <v>7.7470588235294109</v>
      </c>
      <c r="AP68" s="5">
        <v>31</v>
      </c>
      <c r="AQ68" s="5" t="s">
        <v>327</v>
      </c>
      <c r="AR68" s="4" t="s">
        <v>73</v>
      </c>
      <c r="AS68" s="6" t="s">
        <v>60</v>
      </c>
      <c r="AT68" s="6">
        <v>26</v>
      </c>
      <c r="AU68" s="6">
        <v>126</v>
      </c>
      <c r="AV68" s="11">
        <f>AVERAGE(Table7[[#This Row],[23 Pts]:[25 Proj]])</f>
        <v>76</v>
      </c>
      <c r="AW68" s="20">
        <f>Table7[[#This Row],[Avg]]/17</f>
        <v>4.4705882352941178</v>
      </c>
    </row>
    <row r="69" spans="12:49" x14ac:dyDescent="0.35">
      <c r="L69" s="17">
        <v>65</v>
      </c>
      <c r="M69" s="12" t="s">
        <v>214</v>
      </c>
      <c r="N69" s="13" t="s">
        <v>12</v>
      </c>
      <c r="O69" s="14">
        <v>41</v>
      </c>
      <c r="P69" s="14">
        <v>125.2</v>
      </c>
      <c r="Q69" s="10">
        <v>43.7</v>
      </c>
      <c r="R69" s="26">
        <f>AVERAGE(Table2[[#This Row],[23 Pts]:[25 Proj]])</f>
        <v>69.966666666666654</v>
      </c>
      <c r="S69" s="20">
        <f>Table2[[#This Row],[Avg]]/17</f>
        <v>4.1156862745098035</v>
      </c>
      <c r="V69" s="15">
        <v>67</v>
      </c>
      <c r="W69" s="12" t="s">
        <v>391</v>
      </c>
      <c r="X69" s="13" t="s">
        <v>42</v>
      </c>
      <c r="Y69" s="14" t="s">
        <v>60</v>
      </c>
      <c r="Z69" s="14">
        <v>135.4</v>
      </c>
      <c r="AA69" s="10">
        <v>127.6</v>
      </c>
      <c r="AB69" s="10">
        <f>AVERAGE(Table3[[#This Row],[23 Pts]:[25 Proj]])</f>
        <v>131.5</v>
      </c>
      <c r="AC69" s="20">
        <f>Table3[[#This Row],[Avg]]/17</f>
        <v>7.7352941176470589</v>
      </c>
      <c r="AP69" s="5">
        <v>32</v>
      </c>
      <c r="AQ69" s="5" t="s">
        <v>331</v>
      </c>
      <c r="AR69" s="4" t="s">
        <v>87</v>
      </c>
      <c r="AS69" s="6">
        <v>50</v>
      </c>
      <c r="AT69" s="6">
        <v>50</v>
      </c>
      <c r="AU69" s="6">
        <v>119</v>
      </c>
      <c r="AV69" s="11">
        <f>AVERAGE(Table7[[#This Row],[23 Pts]:[25 Proj]])</f>
        <v>73</v>
      </c>
      <c r="AW69" s="20">
        <f>Table7[[#This Row],[Avg]]/17</f>
        <v>4.2941176470588234</v>
      </c>
    </row>
    <row r="70" spans="12:49" x14ac:dyDescent="0.35">
      <c r="L70" s="15">
        <v>67</v>
      </c>
      <c r="M70" s="12" t="s">
        <v>215</v>
      </c>
      <c r="N70" s="13" t="s">
        <v>52</v>
      </c>
      <c r="O70" s="14">
        <v>97.38</v>
      </c>
      <c r="P70" s="14">
        <v>62.6</v>
      </c>
      <c r="Q70" s="10">
        <v>42.7</v>
      </c>
      <c r="R70" s="26">
        <f>AVERAGE(Table2[[#This Row],[23 Pts]:[25 Proj]])</f>
        <v>67.56</v>
      </c>
      <c r="S70" s="20">
        <f>Table2[[#This Row],[Avg]]/17</f>
        <v>3.9741176470588235</v>
      </c>
      <c r="V70" s="15">
        <v>68</v>
      </c>
      <c r="W70" s="12" t="s">
        <v>385</v>
      </c>
      <c r="X70" s="13" t="s">
        <v>23</v>
      </c>
      <c r="Y70" s="14">
        <v>76.5</v>
      </c>
      <c r="Z70" s="14">
        <v>174.6</v>
      </c>
      <c r="AA70" s="10">
        <v>142.9</v>
      </c>
      <c r="AB70" s="10">
        <f>AVERAGE(Table3[[#This Row],[23 Pts]:[25 Proj]])</f>
        <v>131.33333333333334</v>
      </c>
      <c r="AC70" s="20">
        <f>Table3[[#This Row],[Avg]]/17</f>
        <v>7.7254901960784323</v>
      </c>
    </row>
    <row r="71" spans="12:49" x14ac:dyDescent="0.35">
      <c r="L71" s="17">
        <v>68</v>
      </c>
      <c r="M71" s="12" t="s">
        <v>131</v>
      </c>
      <c r="N71" s="13" t="s">
        <v>73</v>
      </c>
      <c r="O71" s="14">
        <v>112.5</v>
      </c>
      <c r="P71" s="14">
        <v>31.5</v>
      </c>
      <c r="Q71" s="10">
        <v>46.9</v>
      </c>
      <c r="R71" s="26">
        <f>AVERAGE(Table2[[#This Row],[23 Pts]:[25 Proj]])</f>
        <v>63.633333333333333</v>
      </c>
      <c r="S71" s="20">
        <f>Table2[[#This Row],[Avg]]/17</f>
        <v>3.7431372549019608</v>
      </c>
      <c r="V71" s="15">
        <v>69</v>
      </c>
      <c r="W71" s="12" t="s">
        <v>382</v>
      </c>
      <c r="X71" s="13" t="s">
        <v>9</v>
      </c>
      <c r="Y71" s="14" t="s">
        <v>60</v>
      </c>
      <c r="Z71" s="14">
        <v>111.5</v>
      </c>
      <c r="AA71" s="10">
        <v>150.5</v>
      </c>
      <c r="AB71" s="10">
        <f>AVERAGE(Table3[[#This Row],[23 Pts]:[25 Proj]])</f>
        <v>131</v>
      </c>
      <c r="AC71" s="20">
        <f>Table3[[#This Row],[Avg]]/17</f>
        <v>7.7058823529411766</v>
      </c>
    </row>
    <row r="72" spans="12:49" x14ac:dyDescent="0.35">
      <c r="L72" s="15">
        <v>69</v>
      </c>
      <c r="M72" s="12" t="s">
        <v>189</v>
      </c>
      <c r="N72" s="13" t="s">
        <v>21</v>
      </c>
      <c r="O72" s="14" t="s">
        <v>60</v>
      </c>
      <c r="P72" s="14">
        <v>26.7</v>
      </c>
      <c r="Q72" s="10">
        <v>96.9</v>
      </c>
      <c r="R72" s="26">
        <f>AVERAGE(Table2[[#This Row],[23 Pts]:[25 Proj]])</f>
        <v>61.800000000000004</v>
      </c>
      <c r="S72" s="20">
        <f>Table2[[#This Row],[Avg]]/17</f>
        <v>3.6352941176470592</v>
      </c>
      <c r="V72" s="15">
        <v>70</v>
      </c>
      <c r="W72" s="12" t="s">
        <v>392</v>
      </c>
      <c r="X72" s="13" t="s">
        <v>73</v>
      </c>
      <c r="Y72" s="14">
        <v>95.4</v>
      </c>
      <c r="Z72" s="14">
        <v>161.4</v>
      </c>
      <c r="AA72" s="10">
        <v>121.8</v>
      </c>
      <c r="AB72" s="10">
        <f>AVERAGE(Table3[[#This Row],[23 Pts]:[25 Proj]])</f>
        <v>126.2</v>
      </c>
      <c r="AC72" s="20">
        <f>Table3[[#This Row],[Avg]]/17</f>
        <v>7.4235294117647062</v>
      </c>
    </row>
    <row r="73" spans="12:49" x14ac:dyDescent="0.35">
      <c r="L73" s="15">
        <v>70</v>
      </c>
      <c r="M73" s="12" t="s">
        <v>202</v>
      </c>
      <c r="N73" s="13" t="s">
        <v>9</v>
      </c>
      <c r="O73" s="14">
        <v>32.4</v>
      </c>
      <c r="P73" s="14">
        <v>91.7</v>
      </c>
      <c r="Q73" s="10">
        <v>56.7</v>
      </c>
      <c r="R73" s="26">
        <f>AVERAGE(Table2[[#This Row],[23 Pts]:[25 Proj]])</f>
        <v>60.266666666666673</v>
      </c>
      <c r="S73" s="20">
        <f>Table2[[#This Row],[Avg]]/17</f>
        <v>3.5450980392156866</v>
      </c>
      <c r="V73" s="15">
        <v>71</v>
      </c>
      <c r="W73" s="12" t="s">
        <v>381</v>
      </c>
      <c r="X73" s="13" t="s">
        <v>48</v>
      </c>
      <c r="Y73" s="14">
        <v>150.26</v>
      </c>
      <c r="Z73" s="14">
        <v>70.900000000000006</v>
      </c>
      <c r="AA73" s="10">
        <v>150.9</v>
      </c>
      <c r="AB73" s="10">
        <f>AVERAGE(Table3[[#This Row],[23 Pts]:[25 Proj]])</f>
        <v>124.02</v>
      </c>
      <c r="AC73" s="20">
        <f>Table3[[#This Row],[Avg]]/17</f>
        <v>7.2952941176470585</v>
      </c>
    </row>
    <row r="74" spans="12:49" x14ac:dyDescent="0.35">
      <c r="L74" s="17">
        <v>71</v>
      </c>
      <c r="M74" s="12" t="s">
        <v>207</v>
      </c>
      <c r="N74" s="13" t="s">
        <v>48</v>
      </c>
      <c r="O74" s="14">
        <v>82.7</v>
      </c>
      <c r="P74" s="14">
        <v>43.5</v>
      </c>
      <c r="Q74" s="10">
        <v>51.1</v>
      </c>
      <c r="R74" s="26">
        <f>AVERAGE(Table2[[#This Row],[23 Pts]:[25 Proj]])</f>
        <v>59.1</v>
      </c>
      <c r="S74" s="20">
        <f>Table2[[#This Row],[Avg]]/17</f>
        <v>3.4764705882352942</v>
      </c>
      <c r="V74" s="15">
        <v>72</v>
      </c>
      <c r="W74" s="12" t="s">
        <v>397</v>
      </c>
      <c r="X74" s="13" t="s">
        <v>87</v>
      </c>
      <c r="Y74" s="14">
        <v>151</v>
      </c>
      <c r="Z74" s="14">
        <v>110</v>
      </c>
      <c r="AA74" s="10">
        <v>109.8</v>
      </c>
      <c r="AB74" s="10">
        <f>AVERAGE(Table3[[#This Row],[23 Pts]:[25 Proj]])</f>
        <v>123.60000000000001</v>
      </c>
      <c r="AC74" s="20">
        <f>Table3[[#This Row],[Avg]]/17</f>
        <v>7.2705882352941185</v>
      </c>
    </row>
    <row r="75" spans="12:49" x14ac:dyDescent="0.35">
      <c r="L75" s="15">
        <v>72</v>
      </c>
      <c r="M75" s="12" t="s">
        <v>225</v>
      </c>
      <c r="N75" s="13" t="s">
        <v>62</v>
      </c>
      <c r="O75" s="14">
        <v>46.7</v>
      </c>
      <c r="P75" s="14">
        <v>93.2</v>
      </c>
      <c r="Q75" s="10">
        <v>30.6</v>
      </c>
      <c r="R75" s="26">
        <f>AVERAGE(Table2[[#This Row],[23 Pts]:[25 Proj]])</f>
        <v>56.833333333333336</v>
      </c>
      <c r="S75" s="20">
        <f>Table2[[#This Row],[Avg]]/17</f>
        <v>3.3431372549019609</v>
      </c>
      <c r="V75" s="15">
        <v>73</v>
      </c>
      <c r="W75" s="12" t="s">
        <v>373</v>
      </c>
      <c r="X75" s="13" t="s">
        <v>94</v>
      </c>
      <c r="Y75" s="14">
        <v>70.7</v>
      </c>
      <c r="Z75" s="14">
        <v>129.5</v>
      </c>
      <c r="AA75" s="10">
        <v>170.1</v>
      </c>
      <c r="AB75" s="10">
        <f>AVERAGE(Table3[[#This Row],[23 Pts]:[25 Proj]])</f>
        <v>123.43333333333332</v>
      </c>
      <c r="AC75" s="20">
        <f>Table3[[#This Row],[Avg]]/17</f>
        <v>7.2607843137254893</v>
      </c>
    </row>
    <row r="76" spans="12:49" x14ac:dyDescent="0.35">
      <c r="L76" s="15">
        <v>73</v>
      </c>
      <c r="M76" s="12" t="s">
        <v>126</v>
      </c>
      <c r="N76" s="13" t="s">
        <v>38</v>
      </c>
      <c r="O76" s="14" t="s">
        <v>60</v>
      </c>
      <c r="P76" s="14">
        <v>33.5</v>
      </c>
      <c r="Q76" s="10">
        <v>78.5</v>
      </c>
      <c r="R76" s="26">
        <f>AVERAGE(Table2[[#This Row],[23 Pts]:[25 Proj]])</f>
        <v>56</v>
      </c>
      <c r="S76" s="20">
        <f>Table2[[#This Row],[Avg]]/17</f>
        <v>3.2941176470588234</v>
      </c>
      <c r="V76" s="15">
        <v>74</v>
      </c>
      <c r="W76" s="12" t="s">
        <v>383</v>
      </c>
      <c r="X76" s="13" t="s">
        <v>9</v>
      </c>
      <c r="Y76" s="14">
        <v>106.7</v>
      </c>
      <c r="Z76" s="14">
        <v>107.4</v>
      </c>
      <c r="AA76" s="10">
        <v>146.30000000000001</v>
      </c>
      <c r="AB76" s="10">
        <f>AVERAGE(Table3[[#This Row],[23 Pts]:[25 Proj]])</f>
        <v>120.13333333333334</v>
      </c>
      <c r="AC76" s="20">
        <f>Table3[[#This Row],[Avg]]/17</f>
        <v>7.0666666666666673</v>
      </c>
    </row>
    <row r="77" spans="12:49" x14ac:dyDescent="0.35">
      <c r="L77" s="17">
        <v>74</v>
      </c>
      <c r="M77" s="12" t="s">
        <v>216</v>
      </c>
      <c r="N77" s="13" t="s">
        <v>46</v>
      </c>
      <c r="O77" s="14">
        <v>73.3</v>
      </c>
      <c r="P77" s="14">
        <v>54.7</v>
      </c>
      <c r="Q77" s="10">
        <v>39.299999999999997</v>
      </c>
      <c r="R77" s="26">
        <f>AVERAGE(Table2[[#This Row],[23 Pts]:[25 Proj]])</f>
        <v>55.766666666666673</v>
      </c>
      <c r="S77" s="20">
        <f>Table2[[#This Row],[Avg]]/17</f>
        <v>3.2803921568627454</v>
      </c>
      <c r="V77" s="15">
        <v>75</v>
      </c>
      <c r="W77" s="12" t="s">
        <v>393</v>
      </c>
      <c r="X77" s="13" t="s">
        <v>46</v>
      </c>
      <c r="Y77" s="14">
        <v>114.5</v>
      </c>
      <c r="Z77" s="14">
        <v>124.5</v>
      </c>
      <c r="AA77" s="10">
        <v>116.7</v>
      </c>
      <c r="AB77" s="10">
        <f>AVERAGE(Table3[[#This Row],[23 Pts]:[25 Proj]])</f>
        <v>118.56666666666666</v>
      </c>
      <c r="AC77" s="20">
        <f>Table3[[#This Row],[Avg]]/17</f>
        <v>6.9745098039215687</v>
      </c>
    </row>
    <row r="78" spans="12:49" x14ac:dyDescent="0.35">
      <c r="L78" s="15">
        <v>75</v>
      </c>
      <c r="M78" s="12" t="s">
        <v>203</v>
      </c>
      <c r="N78" s="13" t="s">
        <v>55</v>
      </c>
      <c r="O78" s="14" t="s">
        <v>60</v>
      </c>
      <c r="P78" s="14" t="s">
        <v>60</v>
      </c>
      <c r="Q78" s="10">
        <v>55.6</v>
      </c>
      <c r="R78" s="26">
        <f>AVERAGE(Table2[[#This Row],[23 Pts]:[25 Proj]])</f>
        <v>55.6</v>
      </c>
      <c r="S78" s="20">
        <f>Table2[[#This Row],[Avg]]/17</f>
        <v>3.2705882352941176</v>
      </c>
      <c r="V78" s="15">
        <v>76</v>
      </c>
      <c r="W78" s="12" t="s">
        <v>402</v>
      </c>
      <c r="X78" s="13" t="s">
        <v>104</v>
      </c>
      <c r="Y78" s="14" t="s">
        <v>60</v>
      </c>
      <c r="Z78" s="14">
        <v>125.1</v>
      </c>
      <c r="AA78" s="10">
        <v>102.4</v>
      </c>
      <c r="AB78" s="10">
        <f>AVERAGE(Table3[[#This Row],[23 Pts]:[25 Proj]])</f>
        <v>113.75</v>
      </c>
      <c r="AC78" s="20">
        <f>Table3[[#This Row],[Avg]]/17</f>
        <v>6.6911764705882355</v>
      </c>
    </row>
    <row r="79" spans="12:49" x14ac:dyDescent="0.35">
      <c r="L79" s="15">
        <v>76</v>
      </c>
      <c r="M79" s="12" t="s">
        <v>334</v>
      </c>
      <c r="N79" s="13" t="s">
        <v>73</v>
      </c>
      <c r="O79" s="14" t="s">
        <v>60</v>
      </c>
      <c r="P79" s="14" t="s">
        <v>60</v>
      </c>
      <c r="Q79" s="10">
        <v>54.7</v>
      </c>
      <c r="R79" s="26">
        <f>AVERAGE(Table2[[#This Row],[23 Pts]:[25 Proj]])</f>
        <v>54.7</v>
      </c>
      <c r="S79" s="20">
        <f>Table2[[#This Row],[Avg]]/17</f>
        <v>3.2176470588235295</v>
      </c>
      <c r="V79" s="15">
        <v>77</v>
      </c>
      <c r="W79" s="12" t="s">
        <v>404</v>
      </c>
      <c r="X79" s="13" t="s">
        <v>40</v>
      </c>
      <c r="Y79" s="14">
        <v>119.76</v>
      </c>
      <c r="Z79" s="14">
        <v>110.5</v>
      </c>
      <c r="AA79" s="10">
        <v>101.7</v>
      </c>
      <c r="AB79" s="10">
        <f>AVERAGE(Table3[[#This Row],[23 Pts]:[25 Proj]])</f>
        <v>110.65333333333332</v>
      </c>
      <c r="AC79" s="20">
        <f>Table3[[#This Row],[Avg]]/17</f>
        <v>6.5090196078431362</v>
      </c>
    </row>
    <row r="80" spans="12:49" x14ac:dyDescent="0.35">
      <c r="L80" s="17">
        <v>77</v>
      </c>
      <c r="M80" s="12" t="s">
        <v>128</v>
      </c>
      <c r="N80" s="13" t="s">
        <v>51</v>
      </c>
      <c r="O80" s="14">
        <v>101</v>
      </c>
      <c r="P80" s="14">
        <v>28.4</v>
      </c>
      <c r="Q80" s="10">
        <v>32.799999999999997</v>
      </c>
      <c r="R80" s="26">
        <f>AVERAGE(Table2[[#This Row],[23 Pts]:[25 Proj]])</f>
        <v>54.066666666666663</v>
      </c>
      <c r="S80" s="20">
        <f>Table2[[#This Row],[Avg]]/17</f>
        <v>3.1803921568627449</v>
      </c>
      <c r="V80" s="15">
        <v>78</v>
      </c>
      <c r="W80" s="12" t="s">
        <v>419</v>
      </c>
      <c r="X80" s="13" t="s">
        <v>34</v>
      </c>
      <c r="Y80" s="14">
        <v>152.69999999999999</v>
      </c>
      <c r="Z80" s="14">
        <v>89.1</v>
      </c>
      <c r="AA80" s="10">
        <v>82.9</v>
      </c>
      <c r="AB80" s="10">
        <f>AVERAGE(Table3[[#This Row],[23 Pts]:[25 Proj]])</f>
        <v>108.23333333333333</v>
      </c>
      <c r="AC80" s="20">
        <f>Table3[[#This Row],[Avg]]/17</f>
        <v>6.3666666666666671</v>
      </c>
    </row>
    <row r="81" spans="12:29" x14ac:dyDescent="0.35">
      <c r="L81" s="15">
        <v>78</v>
      </c>
      <c r="M81" s="12" t="s">
        <v>208</v>
      </c>
      <c r="N81" s="13" t="s">
        <v>40</v>
      </c>
      <c r="O81" s="14">
        <v>14.8</v>
      </c>
      <c r="P81" s="14">
        <v>96</v>
      </c>
      <c r="Q81" s="10">
        <v>50.9</v>
      </c>
      <c r="R81" s="26">
        <f>AVERAGE(Table2[[#This Row],[23 Pts]:[25 Proj]])</f>
        <v>53.9</v>
      </c>
      <c r="S81" s="20">
        <f>Table2[[#This Row],[Avg]]/17</f>
        <v>3.1705882352941175</v>
      </c>
      <c r="V81" s="15">
        <v>79</v>
      </c>
      <c r="W81" s="12" t="s">
        <v>420</v>
      </c>
      <c r="X81" s="13" t="s">
        <v>62</v>
      </c>
      <c r="Y81" s="14">
        <v>173.2</v>
      </c>
      <c r="Z81" s="14">
        <v>69.599999999999994</v>
      </c>
      <c r="AA81" s="10">
        <v>81.599999999999994</v>
      </c>
      <c r="AB81" s="10">
        <f>AVERAGE(Table3[[#This Row],[23 Pts]:[25 Proj]])</f>
        <v>108.13333333333333</v>
      </c>
      <c r="AC81" s="20">
        <f>Table3[[#This Row],[Avg]]/17</f>
        <v>6.3607843137254898</v>
      </c>
    </row>
    <row r="82" spans="12:29" x14ac:dyDescent="0.35">
      <c r="L82" s="15">
        <v>79</v>
      </c>
      <c r="M82" s="12" t="s">
        <v>134</v>
      </c>
      <c r="N82" s="13" t="s">
        <v>48</v>
      </c>
      <c r="O82" s="14">
        <v>23.1</v>
      </c>
      <c r="P82" s="14">
        <v>63.3</v>
      </c>
      <c r="Q82" s="10">
        <v>68.599999999999994</v>
      </c>
      <c r="R82" s="26">
        <f>AVERAGE(Table2[[#This Row],[23 Pts]:[25 Proj]])</f>
        <v>51.666666666666664</v>
      </c>
      <c r="S82" s="20">
        <f>Table2[[#This Row],[Avg]]/17</f>
        <v>3.0392156862745097</v>
      </c>
      <c r="V82" s="15">
        <v>80</v>
      </c>
      <c r="W82" s="12" t="s">
        <v>405</v>
      </c>
      <c r="X82" s="13" t="s">
        <v>81</v>
      </c>
      <c r="Y82" s="14" t="s">
        <v>60</v>
      </c>
      <c r="Z82" s="14" t="s">
        <v>60</v>
      </c>
      <c r="AA82" s="10">
        <v>100.1</v>
      </c>
      <c r="AB82" s="10">
        <f>AVERAGE(Table3[[#This Row],[23 Pts]:[25 Proj]])</f>
        <v>100.1</v>
      </c>
      <c r="AC82" s="20">
        <f>Table3[[#This Row],[Avg]]/17</f>
        <v>5.8882352941176466</v>
      </c>
    </row>
    <row r="83" spans="12:29" x14ac:dyDescent="0.35">
      <c r="L83" s="17">
        <v>80</v>
      </c>
      <c r="M83" s="12" t="s">
        <v>206</v>
      </c>
      <c r="N83" s="13" t="s">
        <v>44</v>
      </c>
      <c r="O83" s="14" t="s">
        <v>60</v>
      </c>
      <c r="P83" s="14" t="s">
        <v>60</v>
      </c>
      <c r="Q83" s="10">
        <v>51.3</v>
      </c>
      <c r="R83" s="26">
        <f>AVERAGE(Table2[[#This Row],[23 Pts]:[25 Proj]])</f>
        <v>51.3</v>
      </c>
      <c r="S83" s="20">
        <f>Table2[[#This Row],[Avg]]/17</f>
        <v>3.0176470588235293</v>
      </c>
      <c r="V83" s="15">
        <v>81</v>
      </c>
      <c r="W83" s="12" t="s">
        <v>400</v>
      </c>
      <c r="X83" s="13" t="s">
        <v>21</v>
      </c>
      <c r="Y83" s="14">
        <v>85</v>
      </c>
      <c r="Z83" s="14">
        <v>135.69999999999999</v>
      </c>
      <c r="AA83" s="10">
        <v>78.7</v>
      </c>
      <c r="AB83" s="10">
        <f>AVERAGE(Table3[[#This Row],[23 Pts]:[25 Proj]])</f>
        <v>99.8</v>
      </c>
      <c r="AC83" s="20">
        <f>Table3[[#This Row],[Avg]]/17</f>
        <v>5.8705882352941172</v>
      </c>
    </row>
    <row r="84" spans="12:29" x14ac:dyDescent="0.35">
      <c r="L84" s="15">
        <v>81</v>
      </c>
      <c r="M84" s="12" t="s">
        <v>204</v>
      </c>
      <c r="N84" s="13" t="s">
        <v>20</v>
      </c>
      <c r="O84" s="14" t="s">
        <v>60</v>
      </c>
      <c r="P84" s="14">
        <v>45.9</v>
      </c>
      <c r="Q84" s="10">
        <v>55.5</v>
      </c>
      <c r="R84" s="26">
        <f>AVERAGE(Table2[[#This Row],[23 Pts]:[25 Proj]])</f>
        <v>50.7</v>
      </c>
      <c r="S84" s="20">
        <f>Table2[[#This Row],[Avg]]/17</f>
        <v>2.9823529411764707</v>
      </c>
      <c r="V84" s="15">
        <v>82</v>
      </c>
      <c r="W84" s="12" t="s">
        <v>398</v>
      </c>
      <c r="X84" s="13" t="s">
        <v>104</v>
      </c>
      <c r="Y84" s="14" t="s">
        <v>60</v>
      </c>
      <c r="Z84" s="14">
        <v>92.56</v>
      </c>
      <c r="AA84" s="10">
        <v>106.8</v>
      </c>
      <c r="AB84" s="10">
        <f>AVERAGE(Table3[[#This Row],[23 Pts]:[25 Proj]])</f>
        <v>99.68</v>
      </c>
      <c r="AC84" s="20">
        <f>Table3[[#This Row],[Avg]]/17</f>
        <v>5.8635294117647065</v>
      </c>
    </row>
    <row r="85" spans="12:29" x14ac:dyDescent="0.35">
      <c r="L85" s="15">
        <v>82</v>
      </c>
      <c r="M85" s="12" t="s">
        <v>423</v>
      </c>
      <c r="N85" s="13" t="s">
        <v>21</v>
      </c>
      <c r="O85" s="14" t="s">
        <v>60</v>
      </c>
      <c r="P85" s="14" t="s">
        <v>60</v>
      </c>
      <c r="Q85" s="10">
        <v>50.3</v>
      </c>
      <c r="R85" s="26">
        <f>AVERAGE(Table2[[#This Row],[23 Pts]:[25 Proj]])</f>
        <v>50.3</v>
      </c>
      <c r="S85" s="20">
        <f>Table2[[#This Row],[Avg]]/17</f>
        <v>2.9588235294117644</v>
      </c>
      <c r="V85" s="15">
        <v>83</v>
      </c>
      <c r="W85" s="12" t="s">
        <v>417</v>
      </c>
      <c r="X85" s="13" t="s">
        <v>38</v>
      </c>
      <c r="Y85" s="14">
        <v>112.4</v>
      </c>
      <c r="Z85" s="14">
        <v>98.9</v>
      </c>
      <c r="AA85" s="10">
        <v>84.8</v>
      </c>
      <c r="AB85" s="10">
        <f>AVERAGE(Table3[[#This Row],[23 Pts]:[25 Proj]])</f>
        <v>98.7</v>
      </c>
      <c r="AC85" s="20">
        <f>Table3[[#This Row],[Avg]]/17</f>
        <v>5.8058823529411763</v>
      </c>
    </row>
    <row r="86" spans="12:29" x14ac:dyDescent="0.35">
      <c r="L86" s="17">
        <v>83</v>
      </c>
      <c r="M86" s="12" t="s">
        <v>210</v>
      </c>
      <c r="N86" s="13" t="s">
        <v>104</v>
      </c>
      <c r="O86" s="14" t="s">
        <v>60</v>
      </c>
      <c r="P86" s="14" t="s">
        <v>60</v>
      </c>
      <c r="Q86" s="10">
        <v>49.3</v>
      </c>
      <c r="R86" s="26">
        <f>AVERAGE(Table2[[#This Row],[23 Pts]:[25 Proj]])</f>
        <v>49.3</v>
      </c>
      <c r="S86" s="20">
        <f>Table2[[#This Row],[Avg]]/17</f>
        <v>2.9</v>
      </c>
      <c r="V86" s="15">
        <v>84</v>
      </c>
      <c r="W86" s="12" t="s">
        <v>421</v>
      </c>
      <c r="X86" s="13" t="s">
        <v>14</v>
      </c>
      <c r="Y86" s="14">
        <v>58.8</v>
      </c>
      <c r="Z86" s="14">
        <v>152</v>
      </c>
      <c r="AA86" s="10">
        <v>80.8</v>
      </c>
      <c r="AB86" s="10">
        <f>AVERAGE(Table3[[#This Row],[23 Pts]:[25 Proj]])</f>
        <v>97.2</v>
      </c>
      <c r="AC86" s="20">
        <f>Table3[[#This Row],[Avg]]/17</f>
        <v>5.7176470588235295</v>
      </c>
    </row>
    <row r="87" spans="12:29" x14ac:dyDescent="0.35">
      <c r="L87" s="15">
        <v>84</v>
      </c>
      <c r="M87" s="12" t="s">
        <v>209</v>
      </c>
      <c r="N87" s="13" t="s">
        <v>38</v>
      </c>
      <c r="O87" s="14" t="s">
        <v>60</v>
      </c>
      <c r="P87" s="14" t="s">
        <v>60</v>
      </c>
      <c r="Q87" s="10">
        <v>49.3</v>
      </c>
      <c r="R87" s="26">
        <f>AVERAGE(Table2[[#This Row],[23 Pts]:[25 Proj]])</f>
        <v>49.3</v>
      </c>
      <c r="S87" s="20">
        <f>Table2[[#This Row],[Avg]]/17</f>
        <v>2.9</v>
      </c>
      <c r="V87" s="15">
        <v>85</v>
      </c>
      <c r="W87" s="12" t="s">
        <v>388</v>
      </c>
      <c r="X87" s="13" t="s">
        <v>22</v>
      </c>
      <c r="Y87" s="14">
        <v>134.69999999999999</v>
      </c>
      <c r="Z87" s="14">
        <v>18.100000000000001</v>
      </c>
      <c r="AA87" s="10">
        <v>138.6</v>
      </c>
      <c r="AB87" s="10">
        <f>AVERAGE(Table3[[#This Row],[23 Pts]:[25 Proj]])</f>
        <v>97.133333333333326</v>
      </c>
      <c r="AC87" s="20">
        <f>Table3[[#This Row],[Avg]]/17</f>
        <v>5.7137254901960777</v>
      </c>
    </row>
    <row r="88" spans="12:29" x14ac:dyDescent="0.35">
      <c r="L88" s="15">
        <v>85</v>
      </c>
      <c r="M88" s="12" t="s">
        <v>194</v>
      </c>
      <c r="N88" s="13" t="s">
        <v>27</v>
      </c>
      <c r="O88" s="14">
        <v>22.8</v>
      </c>
      <c r="P88" s="14" t="s">
        <v>60</v>
      </c>
      <c r="Q88" s="10">
        <v>72.099999999999994</v>
      </c>
      <c r="R88" s="26">
        <f>AVERAGE(Table2[[#This Row],[23 Pts]:[25 Proj]])</f>
        <v>47.449999999999996</v>
      </c>
      <c r="S88" s="20">
        <f>Table2[[#This Row],[Avg]]/17</f>
        <v>2.7911764705882351</v>
      </c>
      <c r="V88" s="15">
        <v>86</v>
      </c>
      <c r="W88" s="12" t="s">
        <v>407</v>
      </c>
      <c r="X88" s="13" t="s">
        <v>48</v>
      </c>
      <c r="Y88" s="14" t="s">
        <v>60</v>
      </c>
      <c r="Z88" s="14" t="s">
        <v>60</v>
      </c>
      <c r="AA88" s="10">
        <v>94.1</v>
      </c>
      <c r="AB88" s="10">
        <f>AVERAGE(Table3[[#This Row],[23 Pts]:[25 Proj]])</f>
        <v>94.1</v>
      </c>
      <c r="AC88" s="20">
        <f>Table3[[#This Row],[Avg]]/17</f>
        <v>5.5352941176470587</v>
      </c>
    </row>
    <row r="89" spans="12:29" x14ac:dyDescent="0.35">
      <c r="L89" s="17">
        <v>86</v>
      </c>
      <c r="M89" s="12" t="s">
        <v>212</v>
      </c>
      <c r="N89" s="13" t="s">
        <v>12</v>
      </c>
      <c r="O89" s="14" t="s">
        <v>60</v>
      </c>
      <c r="P89" s="14" t="s">
        <v>60</v>
      </c>
      <c r="Q89" s="10">
        <v>47.2</v>
      </c>
      <c r="R89" s="26">
        <f>AVERAGE(Table2[[#This Row],[23 Pts]:[25 Proj]])</f>
        <v>47.2</v>
      </c>
      <c r="S89" s="20">
        <f>Table2[[#This Row],[Avg]]/17</f>
        <v>2.7764705882352945</v>
      </c>
      <c r="V89" s="15">
        <v>87</v>
      </c>
      <c r="W89" s="12" t="s">
        <v>411</v>
      </c>
      <c r="X89" s="13" t="s">
        <v>65</v>
      </c>
      <c r="Y89" s="14" t="s">
        <v>60</v>
      </c>
      <c r="Z89" s="14" t="s">
        <v>60</v>
      </c>
      <c r="AA89" s="10">
        <v>91.4</v>
      </c>
      <c r="AB89" s="10">
        <f>AVERAGE(Table3[[#This Row],[23 Pts]:[25 Proj]])</f>
        <v>91.4</v>
      </c>
      <c r="AC89" s="20">
        <f>Table3[[#This Row],[Avg]]/17</f>
        <v>5.3764705882352946</v>
      </c>
    </row>
    <row r="90" spans="12:29" x14ac:dyDescent="0.35">
      <c r="L90" s="15">
        <v>87</v>
      </c>
      <c r="M90" s="12" t="s">
        <v>221</v>
      </c>
      <c r="N90" s="13" t="s">
        <v>23</v>
      </c>
      <c r="O90" s="14">
        <v>69.900000000000006</v>
      </c>
      <c r="P90" s="14">
        <v>35.9</v>
      </c>
      <c r="Q90" s="10">
        <v>33.9</v>
      </c>
      <c r="R90" s="26">
        <f>AVERAGE(Table2[[#This Row],[23 Pts]:[25 Proj]])</f>
        <v>46.56666666666667</v>
      </c>
      <c r="S90" s="20">
        <f>Table2[[#This Row],[Avg]]/17</f>
        <v>2.7392156862745098</v>
      </c>
      <c r="V90" s="15">
        <v>88</v>
      </c>
      <c r="W90" s="12" t="s">
        <v>406</v>
      </c>
      <c r="X90" s="13" t="s">
        <v>52</v>
      </c>
      <c r="Y90" s="14">
        <v>52.7</v>
      </c>
      <c r="Z90" s="14">
        <v>118.8</v>
      </c>
      <c r="AA90" s="10">
        <v>97.5</v>
      </c>
      <c r="AB90" s="10">
        <f>AVERAGE(Table3[[#This Row],[23 Pts]:[25 Proj]])</f>
        <v>89.666666666666671</v>
      </c>
      <c r="AC90" s="20">
        <f>Table3[[#This Row],[Avg]]/17</f>
        <v>5.2745098039215685</v>
      </c>
    </row>
    <row r="91" spans="12:29" x14ac:dyDescent="0.35">
      <c r="L91" s="15">
        <v>88</v>
      </c>
      <c r="M91" s="12" t="s">
        <v>213</v>
      </c>
      <c r="N91" s="13" t="s">
        <v>22</v>
      </c>
      <c r="O91" s="14" t="s">
        <v>60</v>
      </c>
      <c r="P91" s="14" t="s">
        <v>60</v>
      </c>
      <c r="Q91" s="10">
        <v>45.6</v>
      </c>
      <c r="R91" s="26">
        <f>AVERAGE(Table2[[#This Row],[23 Pts]:[25 Proj]])</f>
        <v>45.6</v>
      </c>
      <c r="S91" s="20">
        <f>Table2[[#This Row],[Avg]]/17</f>
        <v>2.6823529411764708</v>
      </c>
      <c r="V91" s="15">
        <v>89</v>
      </c>
      <c r="W91" s="12" t="s">
        <v>412</v>
      </c>
      <c r="X91" s="13" t="s">
        <v>22</v>
      </c>
      <c r="Y91" s="14" t="s">
        <v>60</v>
      </c>
      <c r="Z91" s="14" t="s">
        <v>60</v>
      </c>
      <c r="AA91" s="10">
        <v>88.1</v>
      </c>
      <c r="AB91" s="10">
        <f>AVERAGE(Table3[[#This Row],[23 Pts]:[25 Proj]])</f>
        <v>88.1</v>
      </c>
      <c r="AC91" s="20">
        <f>Table3[[#This Row],[Avg]]/17</f>
        <v>5.1823529411764699</v>
      </c>
    </row>
    <row r="92" spans="12:29" x14ac:dyDescent="0.35">
      <c r="L92" s="15">
        <v>90</v>
      </c>
      <c r="M92" s="12" t="s">
        <v>224</v>
      </c>
      <c r="N92" s="13" t="s">
        <v>12</v>
      </c>
      <c r="O92" s="14">
        <v>38.5</v>
      </c>
      <c r="P92" s="14">
        <v>57.6</v>
      </c>
      <c r="Q92" s="10">
        <v>30.8</v>
      </c>
      <c r="R92" s="26">
        <f>AVERAGE(Table2[[#This Row],[23 Pts]:[25 Proj]])</f>
        <v>42.3</v>
      </c>
      <c r="S92" s="20">
        <f>Table2[[#This Row],[Avg]]/17</f>
        <v>2.4882352941176471</v>
      </c>
      <c r="V92" s="15">
        <v>90</v>
      </c>
      <c r="W92" s="12" t="s">
        <v>91</v>
      </c>
      <c r="X92" s="13" t="s">
        <v>52</v>
      </c>
      <c r="Y92" s="14" t="s">
        <v>60</v>
      </c>
      <c r="Z92" s="14" t="s">
        <v>60</v>
      </c>
      <c r="AA92" s="10">
        <v>86.7</v>
      </c>
      <c r="AB92" s="10">
        <f>AVERAGE(Table3[[#This Row],[23 Pts]:[25 Proj]])</f>
        <v>86.7</v>
      </c>
      <c r="AC92" s="20">
        <f>Table3[[#This Row],[Avg]]/17</f>
        <v>5.1000000000000005</v>
      </c>
    </row>
    <row r="93" spans="12:29" x14ac:dyDescent="0.35">
      <c r="L93" s="15">
        <v>91</v>
      </c>
      <c r="M93" s="12" t="s">
        <v>197</v>
      </c>
      <c r="N93" s="13" t="s">
        <v>18</v>
      </c>
      <c r="O93" s="14" t="s">
        <v>60</v>
      </c>
      <c r="P93" s="14">
        <v>15.7</v>
      </c>
      <c r="Q93" s="10">
        <v>68.7</v>
      </c>
      <c r="R93" s="26">
        <f>AVERAGE(Table2[[#This Row],[23 Pts]:[25 Proj]])</f>
        <v>42.2</v>
      </c>
      <c r="S93" s="20">
        <f>Table2[[#This Row],[Avg]]/17</f>
        <v>2.4823529411764707</v>
      </c>
      <c r="V93" s="15">
        <v>91</v>
      </c>
      <c r="W93" s="12" t="s">
        <v>415</v>
      </c>
      <c r="X93" s="13" t="s">
        <v>44</v>
      </c>
      <c r="Y93" s="14">
        <v>50.6</v>
      </c>
      <c r="Z93" s="14">
        <v>119.9</v>
      </c>
      <c r="AA93" s="10">
        <v>85.5</v>
      </c>
      <c r="AB93" s="10">
        <f>AVERAGE(Table3[[#This Row],[23 Pts]:[25 Proj]])</f>
        <v>85.333333333333329</v>
      </c>
      <c r="AC93" s="20">
        <f>Table3[[#This Row],[Avg]]/17</f>
        <v>5.0196078431372548</v>
      </c>
    </row>
    <row r="94" spans="12:29" x14ac:dyDescent="0.35">
      <c r="L94" s="17">
        <v>92</v>
      </c>
      <c r="M94" s="12" t="s">
        <v>205</v>
      </c>
      <c r="N94" s="13" t="s">
        <v>62</v>
      </c>
      <c r="O94" s="14">
        <v>43.3</v>
      </c>
      <c r="P94" s="14">
        <v>29.1</v>
      </c>
      <c r="Q94" s="10">
        <v>52.5</v>
      </c>
      <c r="R94" s="26">
        <f>AVERAGE(Table2[[#This Row],[23 Pts]:[25 Proj]])</f>
        <v>41.633333333333333</v>
      </c>
      <c r="S94" s="20">
        <f>Table2[[#This Row],[Avg]]/17</f>
        <v>2.4490196078431374</v>
      </c>
      <c r="V94" s="15">
        <v>92</v>
      </c>
      <c r="W94" s="12" t="s">
        <v>414</v>
      </c>
      <c r="X94" s="13" t="s">
        <v>14</v>
      </c>
      <c r="Y94" s="14">
        <v>59.7</v>
      </c>
      <c r="Z94" s="14">
        <v>104.2</v>
      </c>
      <c r="AA94" s="10">
        <v>86.9</v>
      </c>
      <c r="AB94" s="10">
        <f>AVERAGE(Table3[[#This Row],[23 Pts]:[25 Proj]])</f>
        <v>83.600000000000009</v>
      </c>
      <c r="AC94" s="20">
        <f>Table3[[#This Row],[Avg]]/17</f>
        <v>4.9176470588235297</v>
      </c>
    </row>
    <row r="95" spans="12:29" x14ac:dyDescent="0.35">
      <c r="L95" s="15">
        <v>93</v>
      </c>
      <c r="M95" s="12" t="s">
        <v>220</v>
      </c>
      <c r="N95" s="13" t="s">
        <v>22</v>
      </c>
      <c r="O95" s="14">
        <v>47.5</v>
      </c>
      <c r="P95" s="14" t="s">
        <v>60</v>
      </c>
      <c r="Q95" s="10">
        <v>34</v>
      </c>
      <c r="R95" s="26">
        <f>AVERAGE(Table2[[#This Row],[23 Pts]:[25 Proj]])</f>
        <v>40.75</v>
      </c>
      <c r="S95" s="20">
        <f>Table2[[#This Row],[Avg]]/17</f>
        <v>2.3970588235294117</v>
      </c>
      <c r="V95" s="15">
        <v>93</v>
      </c>
      <c r="W95" s="12" t="s">
        <v>418</v>
      </c>
      <c r="X95" s="13" t="s">
        <v>46</v>
      </c>
      <c r="Y95" s="14">
        <v>64.5</v>
      </c>
      <c r="Z95" s="14">
        <v>90.3</v>
      </c>
      <c r="AA95" s="10">
        <v>83.2</v>
      </c>
      <c r="AB95" s="10">
        <f>AVERAGE(Table3[[#This Row],[23 Pts]:[25 Proj]])</f>
        <v>79.333333333333329</v>
      </c>
      <c r="AC95" s="20">
        <f>Table3[[#This Row],[Avg]]/17</f>
        <v>4.6666666666666661</v>
      </c>
    </row>
    <row r="96" spans="12:29" x14ac:dyDescent="0.35">
      <c r="L96" s="15">
        <v>94</v>
      </c>
      <c r="M96" s="12" t="s">
        <v>211</v>
      </c>
      <c r="N96" s="13" t="s">
        <v>59</v>
      </c>
      <c r="O96" s="14">
        <v>37.9</v>
      </c>
      <c r="P96" s="14">
        <v>31.5</v>
      </c>
      <c r="Q96" s="10">
        <v>47.6</v>
      </c>
      <c r="R96" s="26">
        <f>AVERAGE(Table2[[#This Row],[23 Pts]:[25 Proj]])</f>
        <v>39</v>
      </c>
      <c r="S96" s="20">
        <f>Table2[[#This Row],[Avg]]/17</f>
        <v>2.2941176470588234</v>
      </c>
      <c r="V96" s="15">
        <v>94</v>
      </c>
      <c r="W96" s="12" t="s">
        <v>395</v>
      </c>
      <c r="X96" s="13" t="s">
        <v>34</v>
      </c>
      <c r="Y96" s="14">
        <v>44.2</v>
      </c>
      <c r="Z96" s="14">
        <v>80.400000000000006</v>
      </c>
      <c r="AA96" s="10">
        <v>111.2</v>
      </c>
      <c r="AB96" s="10">
        <f>AVERAGE(Table3[[#This Row],[23 Pts]:[25 Proj]])</f>
        <v>78.600000000000009</v>
      </c>
      <c r="AC96" s="20">
        <f>Table3[[#This Row],[Avg]]/17</f>
        <v>4.6235294117647063</v>
      </c>
    </row>
    <row r="97" spans="12:29" x14ac:dyDescent="0.35">
      <c r="L97" s="17">
        <v>95</v>
      </c>
      <c r="M97" s="12" t="s">
        <v>219</v>
      </c>
      <c r="N97" s="13" t="s">
        <v>48</v>
      </c>
      <c r="O97" s="14" t="s">
        <v>60</v>
      </c>
      <c r="P97" s="14" t="s">
        <v>60</v>
      </c>
      <c r="Q97" s="10">
        <v>34.9</v>
      </c>
      <c r="R97" s="26">
        <f>AVERAGE(Table2[[#This Row],[23 Pts]:[25 Proj]])</f>
        <v>34.9</v>
      </c>
      <c r="S97" s="20">
        <f>Table2[[#This Row],[Avg]]/17</f>
        <v>2.052941176470588</v>
      </c>
      <c r="V97" s="15">
        <v>95</v>
      </c>
      <c r="W97" s="12" t="s">
        <v>401</v>
      </c>
      <c r="X97" s="13" t="s">
        <v>38</v>
      </c>
      <c r="Y97" s="14" t="s">
        <v>60</v>
      </c>
      <c r="Z97" s="14">
        <v>52.5</v>
      </c>
      <c r="AA97" s="10">
        <v>104.5</v>
      </c>
      <c r="AB97" s="10">
        <f>AVERAGE(Table3[[#This Row],[23 Pts]:[25 Proj]])</f>
        <v>78.5</v>
      </c>
      <c r="AC97" s="20">
        <f>Table3[[#This Row],[Avg]]/17</f>
        <v>4.617647058823529</v>
      </c>
    </row>
    <row r="98" spans="12:29" x14ac:dyDescent="0.35">
      <c r="L98" s="15">
        <v>96</v>
      </c>
      <c r="M98" s="12" t="s">
        <v>217</v>
      </c>
      <c r="N98" s="13" t="s">
        <v>48</v>
      </c>
      <c r="O98" s="14">
        <v>10.3</v>
      </c>
      <c r="P98" s="14">
        <v>56</v>
      </c>
      <c r="Q98" s="10">
        <v>37.700000000000003</v>
      </c>
      <c r="R98" s="26">
        <f>AVERAGE(Table2[[#This Row],[23 Pts]:[25 Proj]])</f>
        <v>34.666666666666664</v>
      </c>
      <c r="S98" s="20">
        <f>Table2[[#This Row],[Avg]]/17</f>
        <v>2.0392156862745097</v>
      </c>
      <c r="V98" s="15">
        <v>96</v>
      </c>
      <c r="W98" s="12" t="s">
        <v>408</v>
      </c>
      <c r="X98" s="13" t="s">
        <v>85</v>
      </c>
      <c r="Y98" s="14">
        <v>56.5</v>
      </c>
      <c r="Z98" s="14">
        <v>84.5</v>
      </c>
      <c r="AA98" s="10">
        <v>94.1</v>
      </c>
      <c r="AB98" s="10">
        <f>AVERAGE(Table3[[#This Row],[23 Pts]:[25 Proj]])</f>
        <v>78.36666666666666</v>
      </c>
      <c r="AC98" s="20">
        <f>Table3[[#This Row],[Avg]]/17</f>
        <v>4.6098039215686271</v>
      </c>
    </row>
    <row r="99" spans="12:29" x14ac:dyDescent="0.35">
      <c r="L99" s="15">
        <v>97</v>
      </c>
      <c r="M99" s="12" t="s">
        <v>222</v>
      </c>
      <c r="N99" s="13" t="s">
        <v>85</v>
      </c>
      <c r="O99" s="14" t="s">
        <v>60</v>
      </c>
      <c r="P99" s="14" t="s">
        <v>60</v>
      </c>
      <c r="Q99" s="10">
        <v>33.299999999999997</v>
      </c>
      <c r="R99" s="26">
        <f>AVERAGE(Table2[[#This Row],[23 Pts]:[25 Proj]])</f>
        <v>33.299999999999997</v>
      </c>
      <c r="S99" s="20">
        <f>Table2[[#This Row],[Avg]]/17</f>
        <v>1.9588235294117646</v>
      </c>
      <c r="V99" s="15">
        <v>97</v>
      </c>
      <c r="W99" s="12" t="s">
        <v>416</v>
      </c>
      <c r="X99" s="13" t="s">
        <v>94</v>
      </c>
      <c r="Y99" s="14" t="s">
        <v>60</v>
      </c>
      <c r="Z99" s="14">
        <v>67.099999999999994</v>
      </c>
      <c r="AA99" s="10">
        <v>85.3</v>
      </c>
      <c r="AB99" s="10">
        <f>AVERAGE(Table3[[#This Row],[23 Pts]:[25 Proj]])</f>
        <v>76.199999999999989</v>
      </c>
      <c r="AC99" s="20">
        <f>Table3[[#This Row],[Avg]]/17</f>
        <v>4.4823529411764698</v>
      </c>
    </row>
    <row r="100" spans="12:29" x14ac:dyDescent="0.35">
      <c r="L100" s="17">
        <v>98</v>
      </c>
      <c r="M100" s="12" t="s">
        <v>218</v>
      </c>
      <c r="N100" s="13" t="s">
        <v>73</v>
      </c>
      <c r="O100" s="14">
        <v>18.100000000000001</v>
      </c>
      <c r="P100" s="14">
        <v>44.4</v>
      </c>
      <c r="Q100" s="10">
        <v>36.9</v>
      </c>
      <c r="R100" s="26">
        <f>AVERAGE(Table2[[#This Row],[23 Pts]:[25 Proj]])</f>
        <v>33.133333333333333</v>
      </c>
      <c r="S100" s="20">
        <f>Table2[[#This Row],[Avg]]/17</f>
        <v>1.9490196078431372</v>
      </c>
      <c r="V100" s="15">
        <v>98</v>
      </c>
      <c r="W100" s="12" t="s">
        <v>410</v>
      </c>
      <c r="X100" s="13" t="s">
        <v>83</v>
      </c>
      <c r="Y100" s="14">
        <v>3.9</v>
      </c>
      <c r="Z100" s="14">
        <v>121.9</v>
      </c>
      <c r="AA100" s="10">
        <v>92.7</v>
      </c>
      <c r="AB100" s="10">
        <f>AVERAGE(Table3[[#This Row],[23 Pts]:[25 Proj]])</f>
        <v>72.833333333333329</v>
      </c>
      <c r="AC100" s="20">
        <f>Table3[[#This Row],[Avg]]/17</f>
        <v>4.284313725490196</v>
      </c>
    </row>
    <row r="101" spans="12:29" x14ac:dyDescent="0.35">
      <c r="L101" s="15">
        <v>99</v>
      </c>
      <c r="M101" s="12" t="s">
        <v>199</v>
      </c>
      <c r="N101" s="13" t="s">
        <v>40</v>
      </c>
      <c r="O101" s="14" t="s">
        <v>60</v>
      </c>
      <c r="P101" s="14">
        <v>2.8</v>
      </c>
      <c r="Q101" s="10">
        <v>61</v>
      </c>
      <c r="R101" s="26">
        <f>AVERAGE(Table2[[#This Row],[23 Pts]:[25 Proj]])</f>
        <v>31.9</v>
      </c>
      <c r="S101" s="20">
        <f>Table2[[#This Row],[Avg]]/17</f>
        <v>1.8764705882352941</v>
      </c>
      <c r="V101" s="15">
        <v>99</v>
      </c>
      <c r="W101" s="12" t="s">
        <v>394</v>
      </c>
      <c r="X101" s="13" t="s">
        <v>27</v>
      </c>
      <c r="Y101" s="14">
        <v>34.96</v>
      </c>
      <c r="Z101" s="14">
        <v>67.400000000000006</v>
      </c>
      <c r="AA101" s="10">
        <v>115.4</v>
      </c>
      <c r="AB101" s="10">
        <f>AVERAGE(Table3[[#This Row],[23 Pts]:[25 Proj]])</f>
        <v>72.586666666666673</v>
      </c>
      <c r="AC101" s="20">
        <f>Table3[[#This Row],[Avg]]/17</f>
        <v>4.2698039215686281</v>
      </c>
    </row>
    <row r="102" spans="12:29" x14ac:dyDescent="0.35">
      <c r="L102" s="15">
        <v>100</v>
      </c>
      <c r="M102" s="12" t="s">
        <v>226</v>
      </c>
      <c r="N102" s="13" t="s">
        <v>81</v>
      </c>
      <c r="O102" s="14" t="s">
        <v>60</v>
      </c>
      <c r="P102" s="14" t="s">
        <v>60</v>
      </c>
      <c r="Q102" s="10">
        <v>29.6</v>
      </c>
      <c r="R102" s="26">
        <f>AVERAGE(Table2[[#This Row],[23 Pts]:[25 Proj]])</f>
        <v>29.6</v>
      </c>
      <c r="S102" s="20">
        <f>Table2[[#This Row],[Avg]]/17</f>
        <v>1.7411764705882353</v>
      </c>
      <c r="V102" s="15">
        <v>100</v>
      </c>
      <c r="W102" s="12" t="s">
        <v>413</v>
      </c>
      <c r="X102" s="13" t="s">
        <v>51</v>
      </c>
      <c r="Y102" s="14">
        <v>5.9</v>
      </c>
      <c r="Z102" s="14">
        <v>103</v>
      </c>
      <c r="AA102" s="10">
        <v>88.1</v>
      </c>
      <c r="AB102" s="10">
        <f>AVERAGE(Table3[[#This Row],[23 Pts]:[25 Proj]])</f>
        <v>65.666666666666671</v>
      </c>
      <c r="AC102" s="20">
        <f>Table3[[#This Row],[Avg]]/17</f>
        <v>3.8627450980392162</v>
      </c>
    </row>
  </sheetData>
  <mergeCells count="6">
    <mergeCell ref="AP36:AW36"/>
    <mergeCell ref="B1:I1"/>
    <mergeCell ref="L1:S1"/>
    <mergeCell ref="V1:AC1"/>
    <mergeCell ref="AF1:AM1"/>
    <mergeCell ref="AP1:AW1"/>
  </mergeCells>
  <conditionalFormatting sqref="B3:B52">
    <cfRule type="colorScale" priority="19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3:D52">
    <cfRule type="cellIs" dxfId="191" priority="198" operator="equal">
      <formula>"PIT"</formula>
    </cfRule>
    <cfRule type="cellIs" dxfId="190" priority="206" operator="equal">
      <formula>"NYJ"</formula>
    </cfRule>
    <cfRule type="cellIs" dxfId="189" priority="205" operator="equal">
      <formula>"CLE"</formula>
    </cfRule>
    <cfRule type="cellIs" dxfId="188" priority="207" operator="equal">
      <formula>"SEA"</formula>
    </cfRule>
    <cfRule type="cellIs" dxfId="187" priority="212" operator="equal">
      <formula>"CHI"</formula>
    </cfRule>
    <cfRule type="cellIs" dxfId="186" priority="204" operator="equal">
      <formula>"TB"</formula>
    </cfRule>
    <cfRule type="cellIs" dxfId="185" priority="203" operator="equal">
      <formula>"TEN"</formula>
    </cfRule>
    <cfRule type="cellIs" dxfId="184" priority="202" operator="equal">
      <formula>"NO"</formula>
    </cfRule>
    <cfRule type="cellIs" dxfId="183" priority="225" operator="equal">
      <formula>"PHI"</formula>
    </cfRule>
    <cfRule type="cellIs" dxfId="182" priority="224" operator="equal">
      <formula>"BAL"</formula>
    </cfRule>
    <cfRule type="cellIs" dxfId="181" priority="223" operator="equal">
      <formula>"KC"</formula>
    </cfRule>
    <cfRule type="cellIs" dxfId="180" priority="201" operator="equal">
      <formula>"NYG"</formula>
    </cfRule>
    <cfRule type="cellIs" dxfId="179" priority="199" operator="equal">
      <formula>"DEN"</formula>
    </cfRule>
    <cfRule type="cellIs" dxfId="178" priority="226" operator="equal">
      <formula>"BUF"</formula>
    </cfRule>
    <cfRule type="cellIs" dxfId="177" priority="197" operator="equal">
      <formula>"MIN"</formula>
    </cfRule>
    <cfRule type="cellIs" dxfId="176" priority="196" operator="equal">
      <formula>"NE"</formula>
    </cfRule>
    <cfRule type="cellIs" dxfId="175" priority="195" operator="equal">
      <formula>"LV"</formula>
    </cfRule>
    <cfRule type="cellIs" dxfId="174" priority="222" operator="equal">
      <formula>"IND"</formula>
    </cfRule>
    <cfRule type="cellIs" dxfId="173" priority="221" operator="equal">
      <formula>"HOU"</formula>
    </cfRule>
    <cfRule type="cellIs" dxfId="172" priority="220" operator="equal">
      <formula>"ARI"</formula>
    </cfRule>
    <cfRule type="cellIs" dxfId="171" priority="219" operator="equal">
      <formula>"CIN"</formula>
    </cfRule>
    <cfRule type="cellIs" dxfId="170" priority="218" operator="equal">
      <formula>"DAL"</formula>
    </cfRule>
    <cfRule type="cellIs" dxfId="169" priority="217" operator="equal">
      <formula>"GB"</formula>
    </cfRule>
    <cfRule type="cellIs" dxfId="168" priority="216" operator="equal">
      <formula>"WAS"</formula>
    </cfRule>
    <cfRule type="cellIs" dxfId="167" priority="215" operator="equal">
      <formula>"SF"</formula>
    </cfRule>
    <cfRule type="cellIs" dxfId="166" priority="214" operator="equal">
      <formula>"DET"</formula>
    </cfRule>
    <cfRule type="cellIs" dxfId="165" priority="200" operator="equal">
      <formula>"CAR"</formula>
    </cfRule>
    <cfRule type="cellIs" dxfId="164" priority="213" operator="equal">
      <formula>"MIA"</formula>
    </cfRule>
    <cfRule type="cellIs" dxfId="163" priority="211" operator="equal">
      <formula>"JAX"</formula>
    </cfRule>
    <cfRule type="cellIs" dxfId="162" priority="210" operator="equal">
      <formula>"ATL"</formula>
    </cfRule>
    <cfRule type="cellIs" dxfId="161" priority="209" operator="equal">
      <formula>"LAR"</formula>
    </cfRule>
    <cfRule type="cellIs" dxfId="160" priority="208" operator="equal">
      <formula>"LAC"</formula>
    </cfRule>
  </conditionalFormatting>
  <conditionalFormatting sqref="E3:E5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52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52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52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52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102">
    <cfRule type="colorScale" priority="16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3:N102">
    <cfRule type="cellIs" dxfId="159" priority="188" operator="equal">
      <formula>"HOU"</formula>
    </cfRule>
    <cfRule type="cellIs" dxfId="158" priority="180" operator="equal">
      <formula>"MIA"</formula>
    </cfRule>
    <cfRule type="cellIs" dxfId="157" priority="167" operator="equal">
      <formula>"CAR"</formula>
    </cfRule>
    <cfRule type="cellIs" dxfId="156" priority="181" operator="equal">
      <formula>"DET"</formula>
    </cfRule>
    <cfRule type="cellIs" dxfId="155" priority="193" operator="equal">
      <formula>"BUF"</formula>
    </cfRule>
    <cfRule type="cellIs" dxfId="154" priority="192" operator="equal">
      <formula>"PHI"</formula>
    </cfRule>
    <cfRule type="cellIs" dxfId="153" priority="166" operator="equal">
      <formula>"DEN"</formula>
    </cfRule>
    <cfRule type="cellIs" dxfId="152" priority="182" operator="equal">
      <formula>"SF"</formula>
    </cfRule>
    <cfRule type="cellIs" dxfId="151" priority="176" operator="equal">
      <formula>"LAR"</formula>
    </cfRule>
    <cfRule type="cellIs" dxfId="150" priority="183" operator="equal">
      <formula>"WAS"</formula>
    </cfRule>
    <cfRule type="cellIs" dxfId="149" priority="184" operator="equal">
      <formula>"GB"</formula>
    </cfRule>
    <cfRule type="cellIs" dxfId="148" priority="172" operator="equal">
      <formula>"CLE"</formula>
    </cfRule>
    <cfRule type="cellIs" dxfId="147" priority="191" operator="equal">
      <formula>"BAL"</formula>
    </cfRule>
    <cfRule type="cellIs" dxfId="146" priority="190" operator="equal">
      <formula>"KC"</formula>
    </cfRule>
    <cfRule type="cellIs" dxfId="145" priority="189" operator="equal">
      <formula>"IND"</formula>
    </cfRule>
    <cfRule type="cellIs" dxfId="144" priority="165" operator="equal">
      <formula>"PIT"</formula>
    </cfRule>
    <cfRule type="cellIs" dxfId="143" priority="187" operator="equal">
      <formula>"ARI"</formula>
    </cfRule>
    <cfRule type="cellIs" dxfId="142" priority="186" operator="equal">
      <formula>"CIN"</formula>
    </cfRule>
    <cfRule type="cellIs" dxfId="141" priority="185" operator="equal">
      <formula>"DAL"</formula>
    </cfRule>
    <cfRule type="cellIs" dxfId="140" priority="163" operator="equal">
      <formula>"NE"</formula>
    </cfRule>
    <cfRule type="cellIs" dxfId="139" priority="162" operator="equal">
      <formula>"LV"</formula>
    </cfRule>
    <cfRule type="cellIs" dxfId="138" priority="168" operator="equal">
      <formula>"NYG"</formula>
    </cfRule>
    <cfRule type="cellIs" dxfId="137" priority="169" operator="equal">
      <formula>"NO"</formula>
    </cfRule>
    <cfRule type="cellIs" dxfId="136" priority="170" operator="equal">
      <formula>"TEN"</formula>
    </cfRule>
    <cfRule type="cellIs" dxfId="135" priority="164" operator="equal">
      <formula>"MIN"</formula>
    </cfRule>
    <cfRule type="cellIs" dxfId="134" priority="171" operator="equal">
      <formula>"TB"</formula>
    </cfRule>
    <cfRule type="cellIs" dxfId="133" priority="173" operator="equal">
      <formula>"NYJ"</formula>
    </cfRule>
    <cfRule type="cellIs" dxfId="132" priority="174" operator="equal">
      <formula>"SEA"</formula>
    </cfRule>
    <cfRule type="cellIs" dxfId="131" priority="175" operator="equal">
      <formula>"LAC"</formula>
    </cfRule>
    <cfRule type="cellIs" dxfId="130" priority="177" operator="equal">
      <formula>"ATL"</formula>
    </cfRule>
    <cfRule type="cellIs" dxfId="129" priority="178" operator="equal">
      <formula>"JAX"</formula>
    </cfRule>
    <cfRule type="cellIs" dxfId="128" priority="179" operator="equal">
      <formula>"CHI"</formula>
    </cfRule>
  </conditionalFormatting>
  <conditionalFormatting sqref="O3:O10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102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:Q102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:R102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:S102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:V102">
    <cfRule type="colorScale" priority="12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X3:X102">
    <cfRule type="cellIs" dxfId="127" priority="144" operator="equal">
      <formula>"ATL"</formula>
    </cfRule>
    <cfRule type="cellIs" dxfId="126" priority="142" operator="equal">
      <formula>"LAC"</formula>
    </cfRule>
    <cfRule type="cellIs" dxfId="125" priority="141" operator="equal">
      <formula>"SEA"</formula>
    </cfRule>
    <cfRule type="cellIs" dxfId="124" priority="140" operator="equal">
      <formula>"NYJ"</formula>
    </cfRule>
    <cfRule type="cellIs" dxfId="123" priority="139" operator="equal">
      <formula>"CLE"</formula>
    </cfRule>
    <cfRule type="cellIs" dxfId="122" priority="138" operator="equal">
      <formula>"TB"</formula>
    </cfRule>
    <cfRule type="cellIs" dxfId="121" priority="137" operator="equal">
      <formula>"TEN"</formula>
    </cfRule>
    <cfRule type="cellIs" dxfId="120" priority="136" operator="equal">
      <formula>"NO"</formula>
    </cfRule>
    <cfRule type="cellIs" dxfId="119" priority="135" operator="equal">
      <formula>"NYG"</formula>
    </cfRule>
    <cfRule type="cellIs" dxfId="118" priority="134" operator="equal">
      <formula>"CAR"</formula>
    </cfRule>
    <cfRule type="cellIs" dxfId="117" priority="133" operator="equal">
      <formula>"DEN"</formula>
    </cfRule>
    <cfRule type="cellIs" dxfId="116" priority="132" operator="equal">
      <formula>"PIT"</formula>
    </cfRule>
    <cfRule type="cellIs" dxfId="115" priority="131" operator="equal">
      <formula>"MIN"</formula>
    </cfRule>
    <cfRule type="cellIs" dxfId="114" priority="130" operator="equal">
      <formula>"NE"</formula>
    </cfRule>
    <cfRule type="cellIs" dxfId="113" priority="129" operator="equal">
      <formula>"LV"</formula>
    </cfRule>
    <cfRule type="cellIs" dxfId="112" priority="160" operator="equal">
      <formula>"BUF"</formula>
    </cfRule>
    <cfRule type="cellIs" dxfId="111" priority="159" operator="equal">
      <formula>"PHI"</formula>
    </cfRule>
    <cfRule type="cellIs" dxfId="110" priority="158" operator="equal">
      <formula>"BAL"</formula>
    </cfRule>
    <cfRule type="cellIs" dxfId="109" priority="157" operator="equal">
      <formula>"KC"</formula>
    </cfRule>
    <cfRule type="cellIs" dxfId="108" priority="156" operator="equal">
      <formula>"IND"</formula>
    </cfRule>
    <cfRule type="cellIs" dxfId="107" priority="155" operator="equal">
      <formula>"HOU"</formula>
    </cfRule>
    <cfRule type="cellIs" dxfId="106" priority="154" operator="equal">
      <formula>"ARI"</formula>
    </cfRule>
    <cfRule type="cellIs" dxfId="105" priority="153" operator="equal">
      <formula>"CIN"</formula>
    </cfRule>
    <cfRule type="cellIs" dxfId="104" priority="152" operator="equal">
      <formula>"DAL"</formula>
    </cfRule>
    <cfRule type="cellIs" dxfId="103" priority="151" operator="equal">
      <formula>"GB"</formula>
    </cfRule>
    <cfRule type="cellIs" dxfId="102" priority="150" operator="equal">
      <formula>"WAS"</formula>
    </cfRule>
    <cfRule type="cellIs" dxfId="101" priority="149" operator="equal">
      <formula>"SF"</formula>
    </cfRule>
    <cfRule type="cellIs" dxfId="100" priority="148" operator="equal">
      <formula>"DET"</formula>
    </cfRule>
    <cfRule type="cellIs" dxfId="99" priority="147" operator="equal">
      <formula>"MIA"</formula>
    </cfRule>
    <cfRule type="cellIs" dxfId="98" priority="146" operator="equal">
      <formula>"CHI"</formula>
    </cfRule>
    <cfRule type="cellIs" dxfId="97" priority="145" operator="equal">
      <formula>"JAX"</formula>
    </cfRule>
    <cfRule type="cellIs" dxfId="96" priority="143" operator="equal">
      <formula>"LAR"</formula>
    </cfRule>
  </conditionalFormatting>
  <conditionalFormatting sqref="Y3:Y10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3:Z10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3:AA102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3:AB102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:AC102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3:AF52">
    <cfRule type="colorScale" priority="9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H3:AH52">
    <cfRule type="cellIs" dxfId="95" priority="116" operator="equal">
      <formula>"SF"</formula>
    </cfRule>
    <cfRule type="cellIs" dxfId="94" priority="117" operator="equal">
      <formula>"WAS"</formula>
    </cfRule>
    <cfRule type="cellIs" dxfId="93" priority="118" operator="equal">
      <formula>"GB"</formula>
    </cfRule>
    <cfRule type="cellIs" dxfId="92" priority="119" operator="equal">
      <formula>"DAL"</formula>
    </cfRule>
    <cfRule type="cellIs" dxfId="91" priority="120" operator="equal">
      <formula>"CIN"</formula>
    </cfRule>
    <cfRule type="cellIs" dxfId="90" priority="121" operator="equal">
      <formula>"ARI"</formula>
    </cfRule>
    <cfRule type="cellIs" dxfId="89" priority="122" operator="equal">
      <formula>"HOU"</formula>
    </cfRule>
    <cfRule type="cellIs" dxfId="88" priority="123" operator="equal">
      <formula>"IND"</formula>
    </cfRule>
    <cfRule type="cellIs" dxfId="87" priority="124" operator="equal">
      <formula>"KC"</formula>
    </cfRule>
    <cfRule type="cellIs" dxfId="86" priority="125" operator="equal">
      <formula>"BAL"</formula>
    </cfRule>
    <cfRule type="cellIs" dxfId="85" priority="126" operator="equal">
      <formula>"PHI"</formula>
    </cfRule>
    <cfRule type="cellIs" dxfId="84" priority="127" operator="equal">
      <formula>"BUF"</formula>
    </cfRule>
    <cfRule type="cellIs" dxfId="83" priority="96" operator="equal">
      <formula>"LV"</formula>
    </cfRule>
    <cfRule type="cellIs" dxfId="82" priority="97" operator="equal">
      <formula>"NE"</formula>
    </cfRule>
    <cfRule type="cellIs" dxfId="81" priority="98" operator="equal">
      <formula>"MIN"</formula>
    </cfRule>
    <cfRule type="cellIs" dxfId="80" priority="99" operator="equal">
      <formula>"PIT"</formula>
    </cfRule>
    <cfRule type="cellIs" dxfId="79" priority="100" operator="equal">
      <formula>"DEN"</formula>
    </cfRule>
    <cfRule type="cellIs" dxfId="78" priority="101" operator="equal">
      <formula>"CAR"</formula>
    </cfRule>
    <cfRule type="cellIs" dxfId="77" priority="102" operator="equal">
      <formula>"NYG"</formula>
    </cfRule>
    <cfRule type="cellIs" dxfId="76" priority="103" operator="equal">
      <formula>"NO"</formula>
    </cfRule>
    <cfRule type="cellIs" dxfId="75" priority="104" operator="equal">
      <formula>"TEN"</formula>
    </cfRule>
    <cfRule type="cellIs" dxfId="74" priority="105" operator="equal">
      <formula>"TB"</formula>
    </cfRule>
    <cfRule type="cellIs" dxfId="73" priority="106" operator="equal">
      <formula>"CLE"</formula>
    </cfRule>
    <cfRule type="cellIs" dxfId="72" priority="107" operator="equal">
      <formula>"NYJ"</formula>
    </cfRule>
    <cfRule type="cellIs" dxfId="71" priority="108" operator="equal">
      <formula>"SEA"</formula>
    </cfRule>
    <cfRule type="cellIs" dxfId="70" priority="109" operator="equal">
      <formula>"LAC"</formula>
    </cfRule>
    <cfRule type="cellIs" dxfId="69" priority="110" operator="equal">
      <formula>"LAR"</formula>
    </cfRule>
    <cfRule type="cellIs" dxfId="68" priority="111" operator="equal">
      <formula>"ATL"</formula>
    </cfRule>
    <cfRule type="cellIs" dxfId="67" priority="112" operator="equal">
      <formula>"JAX"</formula>
    </cfRule>
    <cfRule type="cellIs" dxfId="66" priority="113" operator="equal">
      <formula>"CHI"</formula>
    </cfRule>
    <cfRule type="cellIs" dxfId="65" priority="114" operator="equal">
      <formula>"MIA"</formula>
    </cfRule>
    <cfRule type="cellIs" dxfId="64" priority="115" operator="equal">
      <formula>"DET"</formula>
    </cfRule>
  </conditionalFormatting>
  <conditionalFormatting sqref="AI3:AI5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3:AJ5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3:AK5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3:AL5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3:AM52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P3:AP34">
    <cfRule type="colorScale" priority="22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P38:AP69">
    <cfRule type="colorScale" priority="22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R3:AR34">
    <cfRule type="cellIs" dxfId="63" priority="74" operator="equal">
      <formula>"NYJ"</formula>
    </cfRule>
    <cfRule type="cellIs" dxfId="62" priority="73" operator="equal">
      <formula>"CLE"</formula>
    </cfRule>
    <cfRule type="cellIs" dxfId="61" priority="72" operator="equal">
      <formula>"TB"</formula>
    </cfRule>
    <cfRule type="cellIs" dxfId="60" priority="71" operator="equal">
      <formula>"TEN"</formula>
    </cfRule>
    <cfRule type="cellIs" dxfId="59" priority="70" operator="equal">
      <formula>"NO"</formula>
    </cfRule>
    <cfRule type="cellIs" dxfId="58" priority="69" operator="equal">
      <formula>"NYG"</formula>
    </cfRule>
    <cfRule type="cellIs" dxfId="57" priority="68" operator="equal">
      <formula>"CAR"</formula>
    </cfRule>
    <cfRule type="cellIs" dxfId="56" priority="67" operator="equal">
      <formula>"DEN"</formula>
    </cfRule>
    <cfRule type="cellIs" dxfId="55" priority="66" operator="equal">
      <formula>"PIT"</formula>
    </cfRule>
    <cfRule type="cellIs" dxfId="54" priority="65" operator="equal">
      <formula>"MIN"</formula>
    </cfRule>
    <cfRule type="cellIs" dxfId="53" priority="64" operator="equal">
      <formula>"NE"</formula>
    </cfRule>
    <cfRule type="cellIs" dxfId="52" priority="63" operator="equal">
      <formula>"LV"</formula>
    </cfRule>
    <cfRule type="cellIs" dxfId="51" priority="82" operator="equal">
      <formula>"DET"</formula>
    </cfRule>
    <cfRule type="cellIs" dxfId="50" priority="93" operator="equal">
      <formula>"PHI"</formula>
    </cfRule>
    <cfRule type="cellIs" dxfId="49" priority="94" operator="equal">
      <formula>"BUF"</formula>
    </cfRule>
    <cfRule type="cellIs" dxfId="48" priority="92" operator="equal">
      <formula>"BAL"</formula>
    </cfRule>
    <cfRule type="cellIs" dxfId="47" priority="91" operator="equal">
      <formula>"KC"</formula>
    </cfRule>
    <cfRule type="cellIs" dxfId="46" priority="90" operator="equal">
      <formula>"IND"</formula>
    </cfRule>
    <cfRule type="cellIs" dxfId="45" priority="89" operator="equal">
      <formula>"HOU"</formula>
    </cfRule>
    <cfRule type="cellIs" dxfId="44" priority="88" operator="equal">
      <formula>"ARI"</formula>
    </cfRule>
    <cfRule type="cellIs" dxfId="43" priority="86" operator="equal">
      <formula>"DAL"</formula>
    </cfRule>
    <cfRule type="cellIs" dxfId="42" priority="85" operator="equal">
      <formula>"GB"</formula>
    </cfRule>
    <cfRule type="cellIs" dxfId="41" priority="84" operator="equal">
      <formula>"WAS"</formula>
    </cfRule>
    <cfRule type="cellIs" dxfId="40" priority="83" operator="equal">
      <formula>"SF"</formula>
    </cfRule>
    <cfRule type="cellIs" dxfId="39" priority="81" operator="equal">
      <formula>"MIA"</formula>
    </cfRule>
    <cfRule type="cellIs" dxfId="38" priority="80" operator="equal">
      <formula>"CHI"</formula>
    </cfRule>
    <cfRule type="cellIs" dxfId="37" priority="79" operator="equal">
      <formula>"JAX"</formula>
    </cfRule>
    <cfRule type="cellIs" dxfId="36" priority="87" operator="equal">
      <formula>"CIN"</formula>
    </cfRule>
    <cfRule type="cellIs" dxfId="35" priority="78" operator="equal">
      <formula>"ATL"</formula>
    </cfRule>
    <cfRule type="cellIs" dxfId="34" priority="77" operator="equal">
      <formula>"LAR"</formula>
    </cfRule>
    <cfRule type="cellIs" dxfId="33" priority="76" operator="equal">
      <formula>"LAC"</formula>
    </cfRule>
    <cfRule type="cellIs" dxfId="32" priority="75" operator="equal">
      <formula>"SEA"</formula>
    </cfRule>
  </conditionalFormatting>
  <conditionalFormatting sqref="AR38:AR69">
    <cfRule type="cellIs" dxfId="31" priority="62" operator="equal">
      <formula>"BUF"</formula>
    </cfRule>
    <cfRule type="cellIs" dxfId="30" priority="61" operator="equal">
      <formula>"PHI"</formula>
    </cfRule>
    <cfRule type="cellIs" dxfId="29" priority="60" operator="equal">
      <formula>"BAL"</formula>
    </cfRule>
    <cfRule type="cellIs" dxfId="28" priority="59" operator="equal">
      <formula>"KC"</formula>
    </cfRule>
    <cfRule type="cellIs" dxfId="27" priority="58" operator="equal">
      <formula>"IND"</formula>
    </cfRule>
    <cfRule type="cellIs" dxfId="26" priority="52" operator="equal">
      <formula>"WAS"</formula>
    </cfRule>
    <cfRule type="cellIs" dxfId="25" priority="56" operator="equal">
      <formula>"ARI"</formula>
    </cfRule>
    <cfRule type="cellIs" dxfId="24" priority="55" operator="equal">
      <formula>"CIN"</formula>
    </cfRule>
    <cfRule type="cellIs" dxfId="23" priority="54" operator="equal">
      <formula>"DAL"</formula>
    </cfRule>
    <cfRule type="cellIs" dxfId="22" priority="53" operator="equal">
      <formula>"GB"</formula>
    </cfRule>
    <cfRule type="cellIs" dxfId="21" priority="41" operator="equal">
      <formula>"CLE"</formula>
    </cfRule>
    <cfRule type="cellIs" dxfId="20" priority="51" operator="equal">
      <formula>"SF"</formula>
    </cfRule>
    <cfRule type="cellIs" dxfId="19" priority="50" operator="equal">
      <formula>"DET"</formula>
    </cfRule>
    <cfRule type="cellIs" dxfId="18" priority="49" operator="equal">
      <formula>"MIA"</formula>
    </cfRule>
    <cfRule type="cellIs" dxfId="17" priority="48" operator="equal">
      <formula>"CHI"</formula>
    </cfRule>
    <cfRule type="cellIs" dxfId="16" priority="47" operator="equal">
      <formula>"JAX"</formula>
    </cfRule>
    <cfRule type="cellIs" dxfId="15" priority="46" operator="equal">
      <formula>"ATL"</formula>
    </cfRule>
    <cfRule type="cellIs" dxfId="14" priority="45" operator="equal">
      <formula>"LAR"</formula>
    </cfRule>
    <cfRule type="cellIs" dxfId="13" priority="44" operator="equal">
      <formula>"LAC"</formula>
    </cfRule>
    <cfRule type="cellIs" dxfId="12" priority="43" operator="equal">
      <formula>"SEA"</formula>
    </cfRule>
    <cfRule type="cellIs" dxfId="11" priority="42" operator="equal">
      <formula>"NYJ"</formula>
    </cfRule>
    <cfRule type="cellIs" dxfId="10" priority="40" operator="equal">
      <formula>"TB"</formula>
    </cfRule>
    <cfRule type="cellIs" dxfId="9" priority="32" operator="equal">
      <formula>"NE"</formula>
    </cfRule>
    <cfRule type="cellIs" dxfId="8" priority="31" operator="equal">
      <formula>"LV"</formula>
    </cfRule>
    <cfRule type="cellIs" dxfId="7" priority="35" operator="equal">
      <formula>"DEN"</formula>
    </cfRule>
    <cfRule type="cellIs" dxfId="6" priority="36" operator="equal">
      <formula>"CAR"</formula>
    </cfRule>
    <cfRule type="cellIs" dxfId="5" priority="37" operator="equal">
      <formula>"NYG"</formula>
    </cfRule>
    <cfRule type="cellIs" dxfId="4" priority="34" operator="equal">
      <formula>"PIT"</formula>
    </cfRule>
    <cfRule type="cellIs" dxfId="3" priority="57" operator="equal">
      <formula>"HOU"</formula>
    </cfRule>
    <cfRule type="cellIs" dxfId="2" priority="38" operator="equal">
      <formula>"NO"</formula>
    </cfRule>
    <cfRule type="cellIs" dxfId="1" priority="33" operator="equal">
      <formula>"MIN"</formula>
    </cfRule>
    <cfRule type="cellIs" dxfId="0" priority="39" operator="equal">
      <formula>"TEN"</formula>
    </cfRule>
  </conditionalFormatting>
  <conditionalFormatting sqref="AS3:AS3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38:AS6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3:AT34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38:AT69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3:AU34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38:AU69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3:AV3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38:AV6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3:AW34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W38:AW69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Draft Results</vt:lpstr>
      <vt:lpstr>Overall Rankings</vt:lpstr>
      <vt:lpstr>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LaRue</dc:creator>
  <cp:lastModifiedBy>LaRue, Joshua William</cp:lastModifiedBy>
  <dcterms:created xsi:type="dcterms:W3CDTF">2024-08-21T22:08:38Z</dcterms:created>
  <dcterms:modified xsi:type="dcterms:W3CDTF">2026-06-30T17:50:42Z</dcterms:modified>
</cp:coreProperties>
</file>